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① 说明" sheetId="1" state="visible" r:id="rId3"/>
    <sheet name="② 合成链" sheetId="2" state="visible" r:id="rId4"/>
    <sheet name="③ 阵营羁绊" sheetId="3" state="visible" r:id="rId5"/>
    <sheet name="④ 舰种羁绊" sheetId="4" state="visible" r:id="rId6"/>
    <sheet name="⑤ 阵营克制" sheetId="5" state="visible" r:id="rId7"/>
    <sheet name="⑥ 升星" sheetId="6" state="visible" r:id="rId8"/>
    <sheet name="⑦ 星区关卡" sheetId="7" state="visible" r:id="rId9"/>
    <sheet name="⑧ Boss配置" sheetId="8" state="visible" r:id="rId10"/>
    <sheet name="⑨ 经济" sheetId="9" state="visible" r:id="rId11"/>
    <sheet name="⑩ 广告点位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<sst xmlns="http://schemas.openxmlformats.org/spreadsheetml/2006/main" count="358" uniqueCount="249">
  <si>
    <r>
      <rPr>
        <b val="true"/>
        <sz val="14"/>
        <color rgb="FF00B8D4"/>
        <rFont val="Noto Sans CJK SC"/>
        <family val="2"/>
      </rPr>
      <t xml:space="preserve">《星舰熔炉》羁绊与关卡数值表 </t>
    </r>
    <r>
      <rPr>
        <b val="true"/>
        <sz val="14"/>
        <color rgb="FF00B8D4"/>
        <rFont val="Microsoft YaHei"/>
        <family val="0"/>
        <charset val="1"/>
      </rPr>
      <t xml:space="preserve">· v3</t>
    </r>
    <r>
      <rPr>
        <b val="true"/>
        <sz val="14"/>
        <color rgb="FF00B8D4"/>
        <rFont val="Noto Sans CJK SC"/>
        <family val="2"/>
      </rPr>
      <t xml:space="preserve">（已核对代码）</t>
    </r>
  </si>
  <si>
    <r>
      <rPr>
        <sz val="9"/>
        <color rgb="FF6F7E92"/>
        <rFont val="Noto Sans CJK SC"/>
        <family val="2"/>
      </rPr>
      <t xml:space="preserve">本表数值已对照 </t>
    </r>
    <r>
      <rPr>
        <sz val="9"/>
        <color rgb="FF6F7E92"/>
        <rFont val="Microsoft YaHei"/>
        <family val="0"/>
        <charset val="1"/>
      </rPr>
      <t xml:space="preserve">Cocos </t>
    </r>
    <r>
      <rPr>
        <sz val="9"/>
        <color rgb="FF6F7E92"/>
        <rFont val="Noto Sans CJK SC"/>
        <family val="2"/>
      </rPr>
      <t xml:space="preserve">版源码 </t>
    </r>
    <r>
      <rPr>
        <sz val="9"/>
        <color rgb="FF6F7E92"/>
        <rFont val="Microsoft YaHei"/>
        <family val="0"/>
        <charset val="1"/>
      </rPr>
      <t xml:space="preserve">core/ </t>
    </r>
    <r>
      <rPr>
        <sz val="9"/>
        <color rgb="FF6F7E92"/>
        <rFont val="Noto Sans CJK SC"/>
        <family val="2"/>
      </rPr>
      <t xml:space="preserve">逐项核对：</t>
    </r>
    <r>
      <rPr>
        <sz val="9"/>
        <color rgb="FF6F7E92"/>
        <rFont val="Microsoft YaHei"/>
        <family val="0"/>
        <charset val="1"/>
      </rPr>
      <t xml:space="preserve">config.ts / synergy.ts / fleet.ts / battle.ts</t>
    </r>
    <r>
      <rPr>
        <sz val="9"/>
        <color rgb="FF6F7E92"/>
        <rFont val="Noto Sans CJK SC"/>
        <family val="2"/>
      </rPr>
      <t xml:space="preserve">。标注 ✅</t>
    </r>
    <r>
      <rPr>
        <sz val="9"/>
        <color rgb="FF6F7E92"/>
        <rFont val="Microsoft YaHei"/>
        <family val="0"/>
        <charset val="1"/>
      </rPr>
      <t xml:space="preserve">=</t>
    </r>
    <r>
      <rPr>
        <sz val="9"/>
        <color rgb="FF6F7E92"/>
        <rFont val="Noto Sans CJK SC"/>
        <family val="2"/>
      </rPr>
      <t xml:space="preserve">当前版本已实现（与代码一致） </t>
    </r>
    <r>
      <rPr>
        <sz val="9"/>
        <color rgb="FF6F7E92"/>
        <rFont val="Microsoft YaHei"/>
        <family val="0"/>
        <charset val="1"/>
      </rPr>
      <t xml:space="preserve">/ 🔮=</t>
    </r>
    <r>
      <rPr>
        <sz val="9"/>
        <color rgb="FF6F7E92"/>
        <rFont val="Noto Sans CJK SC"/>
        <family val="2"/>
      </rPr>
      <t xml:space="preserve">设计预留（代码未实现，供后续）。可调系数用蓝字</t>
    </r>
    <r>
      <rPr>
        <sz val="9"/>
        <color rgb="FF6F7E92"/>
        <rFont val="Microsoft YaHei"/>
        <family val="0"/>
        <charset val="1"/>
      </rPr>
      <t xml:space="preserve">+</t>
    </r>
    <r>
      <rPr>
        <sz val="9"/>
        <color rgb="FF6F7E92"/>
        <rFont val="Noto Sans CJK SC"/>
        <family val="2"/>
      </rPr>
      <t xml:space="preserve">淡黄底，其余数值由公式算出。</t>
    </r>
  </si>
  <si>
    <t xml:space="preserve">表</t>
  </si>
  <si>
    <t xml:space="preserve">内容</t>
  </si>
  <si>
    <t xml:space="preserve">② 合成链</t>
  </si>
  <si>
    <r>
      <rPr>
        <sz val="10"/>
        <color rgb="FF1B2A3A"/>
        <rFont val="Microsoft YaHei"/>
        <family val="0"/>
        <charset val="1"/>
      </rPr>
      <t xml:space="preserve">11 </t>
    </r>
    <r>
      <rPr>
        <sz val="10"/>
        <color rgb="FF1B2A3A"/>
        <rFont val="Noto Sans CJK SC"/>
        <family val="2"/>
      </rPr>
      <t xml:space="preserve">级合成链战力与战斗基础属性（</t>
    </r>
    <r>
      <rPr>
        <sz val="10"/>
        <color rgb="FF1B2A3A"/>
        <rFont val="Microsoft YaHei"/>
        <family val="0"/>
        <charset val="1"/>
      </rPr>
      <t xml:space="preserve">HP/</t>
    </r>
    <r>
      <rPr>
        <sz val="10"/>
        <color rgb="FF1B2A3A"/>
        <rFont val="Noto Sans CJK SC"/>
        <family val="2"/>
      </rPr>
      <t xml:space="preserve">攻击</t>
    </r>
    <r>
      <rPr>
        <sz val="10"/>
        <color rgb="FF1B2A3A"/>
        <rFont val="Microsoft YaHei"/>
        <family val="0"/>
        <charset val="1"/>
      </rPr>
      <t xml:space="preserve">/</t>
    </r>
    <r>
      <rPr>
        <sz val="10"/>
        <color rgb="FF1B2A3A"/>
        <rFont val="Noto Sans CJK SC"/>
        <family val="2"/>
      </rPr>
      <t xml:space="preserve">攻速）</t>
    </r>
    <r>
      <rPr>
        <sz val="10"/>
        <color rgb="FF1B2A3A"/>
        <rFont val="Microsoft YaHei"/>
        <family val="0"/>
        <charset val="1"/>
      </rPr>
      <t xml:space="preserve">+ </t>
    </r>
    <r>
      <rPr>
        <sz val="10"/>
        <color rgb="FF1B2A3A"/>
        <rFont val="Noto Sans CJK SC"/>
        <family val="2"/>
      </rPr>
      <t xml:space="preserve">投放概率 ✅</t>
    </r>
  </si>
  <si>
    <t xml:space="preserve">③ 阵营羁绊</t>
  </si>
  <si>
    <r>
      <rPr>
        <sz val="10"/>
        <color rgb="FF1B2A3A"/>
        <rFont val="Microsoft YaHei"/>
        <family val="0"/>
        <charset val="1"/>
      </rPr>
      <t xml:space="preserve">4 </t>
    </r>
    <r>
      <rPr>
        <sz val="10"/>
        <color rgb="FF1B2A3A"/>
        <rFont val="Noto Sans CJK SC"/>
        <family val="2"/>
      </rPr>
      <t xml:space="preserve">阵营 </t>
    </r>
    <r>
      <rPr>
        <sz val="10"/>
        <color rgb="FF1B2A3A"/>
        <rFont val="Microsoft YaHei"/>
        <family val="0"/>
        <charset val="1"/>
      </rPr>
      <t xml:space="preserve">× 2 </t>
    </r>
    <r>
      <rPr>
        <sz val="10"/>
        <color rgb="FF1B2A3A"/>
        <rFont val="Noto Sans CJK SC"/>
        <family val="2"/>
      </rPr>
      <t xml:space="preserve">档羁绊效果与数值 ✅</t>
    </r>
  </si>
  <si>
    <t xml:space="preserve">④ 舰种羁绊</t>
  </si>
  <si>
    <r>
      <rPr>
        <sz val="10"/>
        <color rgb="FF1B2A3A"/>
        <rFont val="Microsoft YaHei"/>
        <family val="0"/>
        <charset val="1"/>
      </rPr>
      <t xml:space="preserve">4 </t>
    </r>
    <r>
      <rPr>
        <sz val="10"/>
        <color rgb="FF1B2A3A"/>
        <rFont val="Noto Sans CJK SC"/>
        <family val="2"/>
      </rPr>
      <t xml:space="preserve">舰种羁绊效果（辅助仅 </t>
    </r>
    <r>
      <rPr>
        <sz val="10"/>
        <color rgb="FF1B2A3A"/>
        <rFont val="Microsoft YaHei"/>
        <family val="0"/>
        <charset val="1"/>
      </rPr>
      <t xml:space="preserve">2 </t>
    </r>
    <r>
      <rPr>
        <sz val="10"/>
        <color rgb="FF1B2A3A"/>
        <rFont val="Noto Sans CJK SC"/>
        <family val="2"/>
      </rPr>
      <t xml:space="preserve">档）✅</t>
    </r>
  </si>
  <si>
    <t xml:space="preserve">⑤ 阵营克制</t>
  </si>
  <si>
    <r>
      <rPr>
        <sz val="10"/>
        <color rgb="FF1B2A3A"/>
        <rFont val="Microsoft YaHei"/>
        <family val="0"/>
        <charset val="1"/>
      </rPr>
      <t xml:space="preserve">4×4 </t>
    </r>
    <r>
      <rPr>
        <sz val="10"/>
        <color rgb="FF1B2A3A"/>
        <rFont val="Noto Sans CJK SC"/>
        <family val="2"/>
      </rPr>
      <t xml:space="preserve">克制系数 🔮 当前战斗未实现</t>
    </r>
  </si>
  <si>
    <t xml:space="preserve">⑥ 升星</t>
  </si>
  <si>
    <r>
      <rPr>
        <sz val="10"/>
        <color rgb="FF1B2A3A"/>
        <rFont val="Microsoft YaHei"/>
        <family val="0"/>
        <charset val="1"/>
      </rPr>
      <t xml:space="preserve">1★/2★/3★ </t>
    </r>
    <r>
      <rPr>
        <sz val="10"/>
        <color rgb="FF1B2A3A"/>
        <rFont val="Noto Sans CJK SC"/>
        <family val="2"/>
      </rPr>
      <t xml:space="preserve">属性倍率 ✅（专属主动技 🔮 未做）</t>
    </r>
  </si>
  <si>
    <t xml:space="preserve">⑦ 星区关卡</t>
  </si>
  <si>
    <r>
      <rPr>
        <sz val="10"/>
        <color rgb="FF1B2A3A"/>
        <rFont val="Microsoft YaHei"/>
        <family val="0"/>
        <charset val="1"/>
      </rPr>
      <t xml:space="preserve">5 </t>
    </r>
    <r>
      <rPr>
        <sz val="10"/>
        <color rgb="FF1B2A3A"/>
        <rFont val="Noto Sans CJK SC"/>
        <family val="2"/>
      </rPr>
      <t xml:space="preserve">星区 </t>
    </r>
    <r>
      <rPr>
        <sz val="10"/>
        <color rgb="FF1B2A3A"/>
        <rFont val="Microsoft YaHei"/>
        <family val="0"/>
        <charset val="1"/>
      </rPr>
      <t xml:space="preserve">× 3 </t>
    </r>
    <r>
      <rPr>
        <sz val="10"/>
        <color rgb="FF1B2A3A"/>
        <rFont val="Noto Sans CJK SC"/>
        <family val="2"/>
      </rPr>
      <t xml:space="preserve">波 敌军强度（公式，改系数自动重算）✅</t>
    </r>
  </si>
  <si>
    <r>
      <rPr>
        <b val="true"/>
        <sz val="10"/>
        <color rgb="FF1B2A3A"/>
        <rFont val="Microsoft YaHei"/>
        <family val="0"/>
        <charset val="1"/>
      </rPr>
      <t xml:space="preserve">⑧ Boss </t>
    </r>
    <r>
      <rPr>
        <b val="true"/>
        <sz val="10"/>
        <color rgb="FF1B2A3A"/>
        <rFont val="Noto Sans CJK SC"/>
        <family val="2"/>
      </rPr>
      <t xml:space="preserve">配置</t>
    </r>
  </si>
  <si>
    <r>
      <rPr>
        <sz val="10"/>
        <color rgb="FF1B2A3A"/>
        <rFont val="Microsoft YaHei"/>
        <family val="0"/>
        <charset val="1"/>
      </rPr>
      <t xml:space="preserve">5 </t>
    </r>
    <r>
      <rPr>
        <sz val="10"/>
        <color rgb="FF1B2A3A"/>
        <rFont val="Noto Sans CJK SC"/>
        <family val="2"/>
      </rPr>
      <t xml:space="preserve">星区 </t>
    </r>
    <r>
      <rPr>
        <sz val="10"/>
        <color rgb="FF1B2A3A"/>
        <rFont val="Microsoft YaHei"/>
        <family val="0"/>
        <charset val="1"/>
      </rPr>
      <t xml:space="preserve">Boss </t>
    </r>
    <r>
      <rPr>
        <sz val="10"/>
        <color rgb="FF1B2A3A"/>
        <rFont val="Noto Sans CJK SC"/>
        <family val="2"/>
      </rPr>
      <t xml:space="preserve">的 </t>
    </r>
    <r>
      <rPr>
        <sz val="10"/>
        <color rgb="FF1B2A3A"/>
        <rFont val="Microsoft YaHei"/>
        <family val="0"/>
        <charset val="1"/>
      </rPr>
      <t xml:space="preserve">HP/</t>
    </r>
    <r>
      <rPr>
        <sz val="10"/>
        <color rgb="FF1B2A3A"/>
        <rFont val="Noto Sans CJK SC"/>
        <family val="2"/>
      </rPr>
      <t xml:space="preserve">攻击</t>
    </r>
    <r>
      <rPr>
        <sz val="10"/>
        <color rgb="FF1B2A3A"/>
        <rFont val="Microsoft YaHei"/>
        <family val="0"/>
        <charset val="1"/>
      </rPr>
      <t xml:space="preserve">/</t>
    </r>
    <r>
      <rPr>
        <sz val="10"/>
        <color rgb="FF1B2A3A"/>
        <rFont val="Noto Sans CJK SC"/>
        <family val="2"/>
      </rPr>
      <t xml:space="preserve">护卫（公式）✅；多阶段机制 🔮</t>
    </r>
  </si>
  <si>
    <t xml:space="preserve">⑨ 经济</t>
  </si>
  <si>
    <r>
      <rPr>
        <sz val="10"/>
        <color rgb="FF1B2A3A"/>
        <rFont val="Noto Sans CJK SC"/>
        <family val="2"/>
      </rPr>
      <t xml:space="preserve">金币奖励公式 </t>
    </r>
    <r>
      <rPr>
        <sz val="10"/>
        <color rgb="FF1B2A3A"/>
        <rFont val="Microsoft YaHei"/>
        <family val="0"/>
        <charset val="1"/>
      </rPr>
      <t xml:space="preserve">+ </t>
    </r>
    <r>
      <rPr>
        <sz val="10"/>
        <color rgb="FF1B2A3A"/>
        <rFont val="Noto Sans CJK SC"/>
        <family val="2"/>
      </rPr>
      <t xml:space="preserve">消费项价格 ✅（无连胜</t>
    </r>
    <r>
      <rPr>
        <sz val="10"/>
        <color rgb="FF1B2A3A"/>
        <rFont val="Microsoft YaHei"/>
        <family val="0"/>
        <charset val="1"/>
      </rPr>
      <t xml:space="preserve">/</t>
    </r>
    <r>
      <rPr>
        <sz val="10"/>
        <color rgb="FF1B2A3A"/>
        <rFont val="Noto Sans CJK SC"/>
        <family val="2"/>
      </rPr>
      <t xml:space="preserve">连败系统）</t>
    </r>
  </si>
  <si>
    <t xml:space="preserve">⑩ 广告点位</t>
  </si>
  <si>
    <r>
      <rPr>
        <sz val="10"/>
        <color rgb="FF1B2A3A"/>
        <rFont val="Noto Sans CJK SC"/>
        <family val="2"/>
      </rPr>
      <t xml:space="preserve">已接入 </t>
    </r>
    <r>
      <rPr>
        <sz val="10"/>
        <color rgb="FF1B2A3A"/>
        <rFont val="Microsoft YaHei"/>
        <family val="0"/>
        <charset val="1"/>
      </rPr>
      <t xml:space="preserve">3 </t>
    </r>
    <r>
      <rPr>
        <sz val="10"/>
        <color rgb="FF1B2A3A"/>
        <rFont val="Noto Sans CJK SC"/>
        <family val="2"/>
      </rPr>
      <t xml:space="preserve">个激励点位 ✅ </t>
    </r>
    <r>
      <rPr>
        <sz val="10"/>
        <color rgb="FF1B2A3A"/>
        <rFont val="Microsoft YaHei"/>
        <family val="0"/>
        <charset val="1"/>
      </rPr>
      <t xml:space="preserve">+ </t>
    </r>
    <r>
      <rPr>
        <sz val="10"/>
        <color rgb="FF1B2A3A"/>
        <rFont val="Noto Sans CJK SC"/>
        <family val="2"/>
      </rPr>
      <t xml:space="preserve">规划点位 🔮</t>
    </r>
  </si>
  <si>
    <t xml:space="preserve">战斗机制</t>
  </si>
  <si>
    <r>
      <rPr>
        <sz val="10"/>
        <color rgb="FF1B2A3A"/>
        <rFont val="Noto Sans CJK SC"/>
        <family val="2"/>
      </rPr>
      <t xml:space="preserve">攻击间隔</t>
    </r>
    <r>
      <rPr>
        <sz val="10"/>
        <color rgb="FF1B2A3A"/>
        <rFont val="Microsoft YaHei"/>
        <family val="0"/>
        <charset val="1"/>
      </rPr>
      <t xml:space="preserve">=1/</t>
    </r>
    <r>
      <rPr>
        <sz val="10"/>
        <color rgb="FF1B2A3A"/>
        <rFont val="Noto Sans CJK SC"/>
        <family val="2"/>
      </rPr>
      <t xml:space="preserve">攻速；优先打敌方前排；暴击</t>
    </r>
    <r>
      <rPr>
        <sz val="10"/>
        <color rgb="FF1B2A3A"/>
        <rFont val="Microsoft YaHei"/>
        <family val="0"/>
        <charset val="1"/>
      </rPr>
      <t xml:space="preserve">1.5×</t>
    </r>
    <r>
      <rPr>
        <sz val="10"/>
        <color rgb="FF1B2A3A"/>
        <rFont val="Noto Sans CJK SC"/>
        <family val="2"/>
      </rPr>
      <t xml:space="preserve">；护盾先扣；</t>
    </r>
    <r>
      <rPr>
        <sz val="10"/>
        <color rgb="FF1B2A3A"/>
        <rFont val="Microsoft YaHei"/>
        <family val="0"/>
        <charset val="1"/>
      </rPr>
      <t xml:space="preserve">25</t>
    </r>
    <r>
      <rPr>
        <sz val="10"/>
        <color rgb="FF1B2A3A"/>
        <rFont val="Noto Sans CJK SC"/>
        <family val="2"/>
      </rPr>
      <t xml:space="preserve">秒超时按剩余血量比判胜；战术技</t>
    </r>
    <r>
      <rPr>
        <sz val="10"/>
        <color rgb="FF1B2A3A"/>
        <rFont val="Microsoft YaHei"/>
        <family val="0"/>
        <charset val="1"/>
      </rPr>
      <t xml:space="preserve">=</t>
    </r>
    <r>
      <rPr>
        <sz val="10"/>
        <color rgb="FF1B2A3A"/>
        <rFont val="Noto Sans CJK SC"/>
        <family val="2"/>
      </rPr>
      <t xml:space="preserve">全队攻击</t>
    </r>
    <r>
      <rPr>
        <sz val="10"/>
        <color rgb="FF1B2A3A"/>
        <rFont val="Microsoft YaHei"/>
        <family val="0"/>
        <charset val="1"/>
      </rPr>
      <t xml:space="preserve">×2.4÷</t>
    </r>
    <r>
      <rPr>
        <sz val="10"/>
        <color rgb="FF1B2A3A"/>
        <rFont val="Noto Sans CJK SC"/>
        <family val="2"/>
      </rPr>
      <t xml:space="preserve">敌数，冷却</t>
    </r>
    <r>
      <rPr>
        <sz val="10"/>
        <color rgb="FF1B2A3A"/>
        <rFont val="Microsoft YaHei"/>
        <family val="0"/>
        <charset val="1"/>
      </rPr>
      <t xml:space="preserve">8</t>
    </r>
    <r>
      <rPr>
        <sz val="10"/>
        <color rgb="FF1B2A3A"/>
        <rFont val="Noto Sans CJK SC"/>
        <family val="2"/>
      </rPr>
      <t xml:space="preserve">秒。</t>
    </r>
  </si>
  <si>
    <r>
      <rPr>
        <b val="true"/>
        <sz val="14"/>
        <color rgb="FF00B8D4"/>
        <rFont val="Noto Sans CJK SC"/>
        <family val="2"/>
      </rPr>
      <t xml:space="preserve">合成链 </t>
    </r>
    <r>
      <rPr>
        <b val="true"/>
        <sz val="14"/>
        <color rgb="FF00B8D4"/>
        <rFont val="Microsoft YaHei"/>
        <family val="0"/>
        <charset val="1"/>
      </rPr>
      <t xml:space="preserve">· </t>
    </r>
    <r>
      <rPr>
        <b val="true"/>
        <sz val="14"/>
        <color rgb="FF00B8D4"/>
        <rFont val="Noto Sans CJK SC"/>
        <family val="2"/>
      </rPr>
      <t xml:space="preserve">战力与战斗属性 ✅</t>
    </r>
  </si>
  <si>
    <r>
      <rPr>
        <sz val="9"/>
        <color rgb="FF6F7E92"/>
        <rFont val="Microsoft YaHei"/>
        <family val="0"/>
        <charset val="1"/>
      </rPr>
      <t xml:space="preserve">1~4 </t>
    </r>
    <r>
      <rPr>
        <sz val="9"/>
        <color rgb="FF6F7E92"/>
        <rFont val="Noto Sans CJK SC"/>
        <family val="2"/>
      </rPr>
      <t xml:space="preserve">级仅作合成材料（不可上阵）；</t>
    </r>
    <r>
      <rPr>
        <sz val="9"/>
        <color rgb="FF6F7E92"/>
        <rFont val="Microsoft YaHei"/>
        <family val="0"/>
        <charset val="1"/>
      </rPr>
      <t xml:space="preserve">5 </t>
    </r>
    <r>
      <rPr>
        <sz val="9"/>
        <color rgb="FF6F7E92"/>
        <rFont val="Noto Sans CJK SC"/>
        <family val="2"/>
      </rPr>
      <t xml:space="preserve">级起可编入战斗。数值与 </t>
    </r>
    <r>
      <rPr>
        <sz val="9"/>
        <color rgb="FF6F7E92"/>
        <rFont val="Microsoft YaHei"/>
        <family val="0"/>
        <charset val="1"/>
      </rPr>
      <t xml:space="preserve">config.ts </t>
    </r>
    <r>
      <rPr>
        <sz val="9"/>
        <color rgb="FF6F7E92"/>
        <rFont val="Noto Sans CJK SC"/>
        <family val="2"/>
      </rPr>
      <t xml:space="preserve">的 </t>
    </r>
    <r>
      <rPr>
        <sz val="9"/>
        <color rgb="FF6F7E92"/>
        <rFont val="Microsoft YaHei"/>
        <family val="0"/>
        <charset val="1"/>
      </rPr>
      <t xml:space="preserve">B_HP/B_ATK/B_SPD/VALUE </t>
    </r>
    <r>
      <rPr>
        <sz val="9"/>
        <color rgb="FF6F7E92"/>
        <rFont val="Noto Sans CJK SC"/>
        <family val="2"/>
      </rPr>
      <t xml:space="preserve">一致。</t>
    </r>
  </si>
  <si>
    <t xml:space="preserve">等级</t>
  </si>
  <si>
    <t xml:space="preserve">名称</t>
  </si>
  <si>
    <t xml:space="preserve">形态</t>
  </si>
  <si>
    <t xml:space="preserve">可上阵</t>
  </si>
  <si>
    <r>
      <rPr>
        <b val="true"/>
        <sz val="11"/>
        <color rgb="FFFFFFFF"/>
        <rFont val="Noto Sans CJK SC"/>
        <family val="2"/>
      </rPr>
      <t xml:space="preserve">基础</t>
    </r>
    <r>
      <rPr>
        <b val="true"/>
        <sz val="11"/>
        <color rgb="FFFFFFFF"/>
        <rFont val="Microsoft YaHei"/>
        <family val="0"/>
        <charset val="1"/>
      </rPr>
      <t xml:space="preserve">HP</t>
    </r>
  </si>
  <si>
    <t xml:space="preserve">基础攻击</t>
  </si>
  <si>
    <r>
      <rPr>
        <b val="true"/>
        <sz val="11"/>
        <color rgb="FFFFFFFF"/>
        <rFont val="Noto Sans CJK SC"/>
        <family val="2"/>
      </rPr>
      <t xml:space="preserve">攻速</t>
    </r>
    <r>
      <rPr>
        <b val="true"/>
        <sz val="11"/>
        <color rgb="FFFFFFFF"/>
        <rFont val="Microsoft YaHei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次</t>
    </r>
    <r>
      <rPr>
        <b val="true"/>
        <sz val="11"/>
        <color rgb="FFFFFFFF"/>
        <rFont val="Microsoft YaHe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秒</t>
    </r>
    <r>
      <rPr>
        <b val="true"/>
        <sz val="11"/>
        <color rgb="FFFFFFFF"/>
        <rFont val="Microsoft YaHei"/>
        <family val="0"/>
        <charset val="1"/>
      </rPr>
      <t xml:space="preserve">)</t>
    </r>
  </si>
  <si>
    <t xml:space="preserve">战力值</t>
  </si>
  <si>
    <t xml:space="preserve">纳米芯片</t>
  </si>
  <si>
    <t xml:space="preserve">发光电路块</t>
  </si>
  <si>
    <t xml:space="preserve">否</t>
  </si>
  <si>
    <t xml:space="preserve">—</t>
  </si>
  <si>
    <t xml:space="preserve">能量电池</t>
  </si>
  <si>
    <t xml:space="preserve">青色能量晶体</t>
  </si>
  <si>
    <t xml:space="preserve">武器模块</t>
  </si>
  <si>
    <t xml:space="preserve">带枪管核心件</t>
  </si>
  <si>
    <t xml:space="preserve">激光炮台</t>
  </si>
  <si>
    <t xml:space="preserve">悬浮小炮台</t>
  </si>
  <si>
    <t xml:space="preserve">攻击无人机</t>
  </si>
  <si>
    <t xml:space="preserve">三角小型机</t>
  </si>
  <si>
    <t xml:space="preserve">是</t>
  </si>
  <si>
    <t xml:space="preserve">星际战机</t>
  </si>
  <si>
    <t xml:space="preserve">流线单座战机</t>
  </si>
  <si>
    <t xml:space="preserve">护卫舰</t>
  </si>
  <si>
    <t xml:space="preserve">小型舰船</t>
  </si>
  <si>
    <t xml:space="preserve">驱逐舰</t>
  </si>
  <si>
    <t xml:space="preserve">中型战舰</t>
  </si>
  <si>
    <t xml:space="preserve">巡洋舰</t>
  </si>
  <si>
    <t xml:space="preserve">大型战舰</t>
  </si>
  <si>
    <t xml:space="preserve">战列舰</t>
  </si>
  <si>
    <t xml:space="preserve">巨型主力舰</t>
  </si>
  <si>
    <t xml:space="preserve">母舰</t>
  </si>
  <si>
    <t xml:space="preserve">旗舰级母舰（合成顶点）</t>
  </si>
  <si>
    <t xml:space="preserve">★</t>
  </si>
  <si>
    <t xml:space="preserve">歼星旗舰</t>
  </si>
  <si>
    <r>
      <rPr>
        <b val="true"/>
        <sz val="10"/>
        <color rgb="FFC0862B"/>
        <rFont val="Noto Sans CJK SC"/>
        <family val="2"/>
      </rPr>
      <t xml:space="preserve">彩蛋 </t>
    </r>
    <r>
      <rPr>
        <b val="true"/>
        <sz val="10"/>
        <color rgb="FFC0862B"/>
        <rFont val="Microsoft YaHei"/>
        <family val="0"/>
        <charset val="1"/>
      </rPr>
      <t xml:space="preserve">· </t>
    </r>
    <r>
      <rPr>
        <b val="true"/>
        <sz val="10"/>
        <color rgb="FFC0862B"/>
        <rFont val="Noto Sans CJK SC"/>
        <family val="2"/>
      </rPr>
      <t xml:space="preserve">美术已出，玩法未接入</t>
    </r>
  </si>
  <si>
    <r>
      <rPr>
        <b val="true"/>
        <sz val="10"/>
        <color rgb="FF1B2A3A"/>
        <rFont val="Noto Sans CJK SC"/>
        <family val="2"/>
      </rPr>
      <t xml:space="preserve">投放概率（仅材料级；</t>
    </r>
    <r>
      <rPr>
        <b val="true"/>
        <sz val="10"/>
        <color rgb="FF1B2A3A"/>
        <rFont val="Microsoft YaHei"/>
        <family val="0"/>
        <charset val="1"/>
      </rPr>
      <t xml:space="preserve">pickDropTier </t>
    </r>
    <r>
      <rPr>
        <b val="true"/>
        <sz val="10"/>
        <color rgb="FF1B2A3A"/>
        <rFont val="Noto Sans CJK SC"/>
        <family val="2"/>
      </rPr>
      <t xml:space="preserve">均匀取自 </t>
    </r>
    <r>
      <rPr>
        <b val="true"/>
        <sz val="10"/>
        <color rgb="FF1B2A3A"/>
        <rFont val="Microsoft YaHei"/>
        <family val="0"/>
        <charset val="1"/>
      </rPr>
      <t xml:space="preserve">DROP_POOL</t>
    </r>
    <r>
      <rPr>
        <b val="true"/>
        <sz val="10"/>
        <color rgb="FF1B2A3A"/>
        <rFont val="Noto Sans CJK SC"/>
        <family val="2"/>
      </rPr>
      <t xml:space="preserve">）</t>
    </r>
  </si>
  <si>
    <r>
      <rPr>
        <sz val="10"/>
        <color rgb="FF1B2A3A"/>
        <rFont val="Microsoft YaHei"/>
        <family val="0"/>
        <charset val="1"/>
      </rPr>
      <t xml:space="preserve">1</t>
    </r>
    <r>
      <rPr>
        <sz val="10"/>
        <color rgb="FF1B2A3A"/>
        <rFont val="Noto Sans CJK SC"/>
        <family val="2"/>
      </rPr>
      <t xml:space="preserve">级 纳米芯片</t>
    </r>
  </si>
  <si>
    <t xml:space="preserve">50%</t>
  </si>
  <si>
    <r>
      <rPr>
        <sz val="10"/>
        <color rgb="FF1B2A3A"/>
        <rFont val="Microsoft YaHei"/>
        <family val="0"/>
        <charset val="1"/>
      </rPr>
      <t xml:space="preserve">2</t>
    </r>
    <r>
      <rPr>
        <sz val="10"/>
        <color rgb="FF1B2A3A"/>
        <rFont val="Noto Sans CJK SC"/>
        <family val="2"/>
      </rPr>
      <t xml:space="preserve">级 能量电池</t>
    </r>
  </si>
  <si>
    <t xml:space="preserve">30%</t>
  </si>
  <si>
    <r>
      <rPr>
        <sz val="10"/>
        <color rgb="FF1B2A3A"/>
        <rFont val="Microsoft YaHei"/>
        <family val="0"/>
        <charset val="1"/>
      </rPr>
      <t xml:space="preserve">3</t>
    </r>
    <r>
      <rPr>
        <sz val="10"/>
        <color rgb="FF1B2A3A"/>
        <rFont val="Noto Sans CJK SC"/>
        <family val="2"/>
      </rPr>
      <t xml:space="preserve">级 武器模块</t>
    </r>
  </si>
  <si>
    <t xml:space="preserve">10%</t>
  </si>
  <si>
    <r>
      <rPr>
        <sz val="10"/>
        <color rgb="FF1B2A3A"/>
        <rFont val="Microsoft YaHei"/>
        <family val="0"/>
        <charset val="1"/>
      </rPr>
      <t xml:space="preserve">4</t>
    </r>
    <r>
      <rPr>
        <sz val="10"/>
        <color rgb="FF1B2A3A"/>
        <rFont val="Noto Sans CJK SC"/>
        <family val="2"/>
      </rPr>
      <t xml:space="preserve">级 激光炮台</t>
    </r>
  </si>
  <si>
    <r>
      <rPr>
        <b val="true"/>
        <sz val="14"/>
        <color rgb="FF00B8D4"/>
        <rFont val="Noto Sans CJK SC"/>
        <family val="2"/>
      </rPr>
      <t xml:space="preserve">阵营羁绊 </t>
    </r>
    <r>
      <rPr>
        <b val="true"/>
        <sz val="14"/>
        <color rgb="FF00B8D4"/>
        <rFont val="Microsoft YaHei"/>
        <family val="0"/>
        <charset val="1"/>
      </rPr>
      <t xml:space="preserve">· 4 </t>
    </r>
    <r>
      <rPr>
        <b val="true"/>
        <sz val="14"/>
        <color rgb="FF00B8D4"/>
        <rFont val="Noto Sans CJK SC"/>
        <family val="2"/>
      </rPr>
      <t xml:space="preserve">阵营 </t>
    </r>
    <r>
      <rPr>
        <b val="true"/>
        <sz val="14"/>
        <color rgb="FF00B8D4"/>
        <rFont val="Microsoft YaHei"/>
        <family val="0"/>
        <charset val="1"/>
      </rPr>
      <t xml:space="preserve">× 2 </t>
    </r>
    <r>
      <rPr>
        <b val="true"/>
        <sz val="14"/>
        <color rgb="FF00B8D4"/>
        <rFont val="Noto Sans CJK SC"/>
        <family val="2"/>
      </rPr>
      <t xml:space="preserve">档 ✅</t>
    </r>
  </si>
  <si>
    <r>
      <rPr>
        <sz val="9"/>
        <color rgb="FF6F7E92"/>
        <rFont val="Noto Sans CJK SC"/>
        <family val="2"/>
      </rPr>
      <t xml:space="preserve">同阵营战舰数达档位即全体激活（</t>
    </r>
    <r>
      <rPr>
        <sz val="9"/>
        <color rgb="FF6F7E92"/>
        <rFont val="Microsoft YaHei"/>
        <family val="0"/>
        <charset val="1"/>
      </rPr>
      <t xml:space="preserve">synergy.ts</t>
    </r>
    <r>
      <rPr>
        <sz val="9"/>
        <color rgb="FF6F7E92"/>
        <rFont val="Noto Sans CJK SC"/>
        <family val="2"/>
      </rPr>
      <t xml:space="preserve">）。‘件’不含召唤物。</t>
    </r>
  </si>
  <si>
    <t xml:space="preserve">阵营</t>
  </si>
  <si>
    <t xml:space="preserve">主题色</t>
  </si>
  <si>
    <r>
      <rPr>
        <b val="true"/>
        <sz val="11"/>
        <color rgb="FFFFFFFF"/>
        <rFont val="Noto Sans CJK SC"/>
        <family val="2"/>
      </rPr>
      <t xml:space="preserve">档位</t>
    </r>
    <r>
      <rPr>
        <b val="true"/>
        <sz val="11"/>
        <color rgb="FFFFFFFF"/>
        <rFont val="Microsoft YaHei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件</t>
    </r>
    <r>
      <rPr>
        <b val="true"/>
        <sz val="11"/>
        <color rgb="FFFFFFFF"/>
        <rFont val="Microsoft YaHei"/>
        <family val="0"/>
        <charset val="1"/>
      </rPr>
      <t xml:space="preserve">)</t>
    </r>
  </si>
  <si>
    <t xml:space="preserve">羁绊效果</t>
  </si>
  <si>
    <r>
      <rPr>
        <b val="true"/>
        <sz val="11"/>
        <color rgb="FFFFFFFF"/>
        <rFont val="Noto Sans CJK SC"/>
        <family val="2"/>
      </rPr>
      <t xml:space="preserve">定位</t>
    </r>
    <r>
      <rPr>
        <b val="true"/>
        <sz val="11"/>
        <color rgb="FFFFFFFF"/>
        <rFont val="Microsoft YaHe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备注</t>
    </r>
  </si>
  <si>
    <t xml:space="preserve">帝国舰队</t>
  </si>
  <si>
    <r>
      <rPr>
        <sz val="10"/>
        <color rgb="FF1B2A3A"/>
        <rFont val="Noto Sans CJK SC"/>
        <family val="2"/>
      </rPr>
      <t xml:space="preserve">金橙 </t>
    </r>
    <r>
      <rPr>
        <sz val="10"/>
        <color rgb="FF1B2A3A"/>
        <rFont val="Microsoft YaHei"/>
        <family val="0"/>
        <charset val="1"/>
      </rPr>
      <t xml:space="preserve">#FF9D00</t>
    </r>
  </si>
  <si>
    <r>
      <rPr>
        <sz val="10"/>
        <color rgb="FF1B2A3A"/>
        <rFont val="Noto Sans CJK SC"/>
        <family val="2"/>
      </rPr>
      <t xml:space="preserve">全体攻击 </t>
    </r>
    <r>
      <rPr>
        <sz val="10"/>
        <color rgb="FF1B2A3A"/>
        <rFont val="Microsoft YaHei"/>
        <family val="0"/>
        <charset val="1"/>
      </rPr>
      <t xml:space="preserve">×1.15</t>
    </r>
    <r>
      <rPr>
        <sz val="10"/>
        <color rgb="FF1B2A3A"/>
        <rFont val="Noto Sans CJK SC"/>
        <family val="2"/>
      </rPr>
      <t xml:space="preserve">（</t>
    </r>
    <r>
      <rPr>
        <sz val="10"/>
        <color rgb="FF1B2A3A"/>
        <rFont val="Microsoft YaHei"/>
        <family val="0"/>
        <charset val="1"/>
      </rPr>
      <t xml:space="preserve">+15%</t>
    </r>
    <r>
      <rPr>
        <sz val="10"/>
        <color rgb="FF1B2A3A"/>
        <rFont val="Noto Sans CJK SC"/>
        <family val="2"/>
      </rPr>
      <t xml:space="preserve">）</t>
    </r>
  </si>
  <si>
    <t xml:space="preserve">进攻核心</t>
  </si>
  <si>
    <r>
      <rPr>
        <sz val="10"/>
        <color rgb="FF1B2A3A"/>
        <rFont val="Noto Sans CJK SC"/>
        <family val="2"/>
      </rPr>
      <t xml:space="preserve">全体攻击 </t>
    </r>
    <r>
      <rPr>
        <sz val="10"/>
        <color rgb="FF1B2A3A"/>
        <rFont val="Microsoft YaHei"/>
        <family val="0"/>
        <charset val="1"/>
      </rPr>
      <t xml:space="preserve">×1.35</t>
    </r>
    <r>
      <rPr>
        <sz val="10"/>
        <color rgb="FF1B2A3A"/>
        <rFont val="Noto Sans CJK SC"/>
        <family val="2"/>
      </rPr>
      <t xml:space="preserve">（</t>
    </r>
    <r>
      <rPr>
        <sz val="10"/>
        <color rgb="FF1B2A3A"/>
        <rFont val="Microsoft YaHei"/>
        <family val="0"/>
        <charset val="1"/>
      </rPr>
      <t xml:space="preserve">+35%</t>
    </r>
    <r>
      <rPr>
        <sz val="10"/>
        <color rgb="FF1B2A3A"/>
        <rFont val="Noto Sans CJK SC"/>
        <family val="2"/>
      </rPr>
      <t xml:space="preserve">）</t>
    </r>
  </si>
  <si>
    <t xml:space="preserve">异星生体</t>
  </si>
  <si>
    <r>
      <rPr>
        <sz val="10"/>
        <color rgb="FF1B2A3A"/>
        <rFont val="Noto Sans CJK SC"/>
        <family val="2"/>
      </rPr>
      <t xml:space="preserve">猩红 </t>
    </r>
    <r>
      <rPr>
        <sz val="10"/>
        <color rgb="FF1B2A3A"/>
        <rFont val="Microsoft YaHei"/>
        <family val="0"/>
        <charset val="1"/>
      </rPr>
      <t xml:space="preserve">#FF2E5B</t>
    </r>
  </si>
  <si>
    <r>
      <rPr>
        <sz val="10"/>
        <color rgb="FF1B2A3A"/>
        <rFont val="Noto Sans CJK SC"/>
        <family val="2"/>
      </rPr>
      <t xml:space="preserve">全体每秒回复 </t>
    </r>
    <r>
      <rPr>
        <sz val="10"/>
        <color rgb="FF1B2A3A"/>
        <rFont val="Microsoft YaHei"/>
        <family val="0"/>
        <charset val="1"/>
      </rPr>
      <t xml:space="preserve">2% </t>
    </r>
    <r>
      <rPr>
        <sz val="10"/>
        <color rgb="FF1B2A3A"/>
        <rFont val="Noto Sans CJK SC"/>
        <family val="2"/>
      </rPr>
      <t xml:space="preserve">最大生命</t>
    </r>
  </si>
  <si>
    <r>
      <rPr>
        <sz val="10"/>
        <color rgb="FF1B2A3A"/>
        <rFont val="Noto Sans CJK SC"/>
        <family val="2"/>
      </rPr>
      <t xml:space="preserve">续航</t>
    </r>
    <r>
      <rPr>
        <sz val="10"/>
        <color rgb="FF1B2A3A"/>
        <rFont val="Microsoft YaHei"/>
        <family val="0"/>
        <charset val="1"/>
      </rPr>
      <t xml:space="preserve">/</t>
    </r>
    <r>
      <rPr>
        <sz val="10"/>
        <color rgb="FF1B2A3A"/>
        <rFont val="Noto Sans CJK SC"/>
        <family val="2"/>
      </rPr>
      <t xml:space="preserve">苟活流</t>
    </r>
  </si>
  <si>
    <r>
      <rPr>
        <sz val="10"/>
        <color rgb="FF1B2A3A"/>
        <rFont val="Noto Sans CJK SC"/>
        <family val="2"/>
      </rPr>
      <t xml:space="preserve">首次阵亡原地复活（</t>
    </r>
    <r>
      <rPr>
        <sz val="10"/>
        <color rgb="FF1B2A3A"/>
        <rFont val="Microsoft YaHei"/>
        <family val="0"/>
        <charset val="1"/>
      </rPr>
      <t xml:space="preserve">50% </t>
    </r>
    <r>
      <rPr>
        <sz val="10"/>
        <color rgb="FF1B2A3A"/>
        <rFont val="Noto Sans CJK SC"/>
        <family val="2"/>
      </rPr>
      <t xml:space="preserve">最大生命，每单位限一次）</t>
    </r>
  </si>
  <si>
    <t xml:space="preserve">机械军团</t>
  </si>
  <si>
    <r>
      <rPr>
        <sz val="10"/>
        <color rgb="FF1B2A3A"/>
        <rFont val="Noto Sans CJK SC"/>
        <family val="2"/>
      </rPr>
      <t xml:space="preserve">银蓝 </t>
    </r>
    <r>
      <rPr>
        <sz val="10"/>
        <color rgb="FF1B2A3A"/>
        <rFont val="Microsoft YaHei"/>
        <family val="0"/>
        <charset val="1"/>
      </rPr>
      <t xml:space="preserve">#5FB0FF</t>
    </r>
  </si>
  <si>
    <r>
      <rPr>
        <sz val="10"/>
        <color rgb="FF1B2A3A"/>
        <rFont val="Noto Sans CJK SC"/>
        <family val="2"/>
      </rPr>
      <t xml:space="preserve">开战全体获得 </t>
    </r>
    <r>
      <rPr>
        <sz val="10"/>
        <color rgb="FF1B2A3A"/>
        <rFont val="Microsoft YaHei"/>
        <family val="0"/>
        <charset val="1"/>
      </rPr>
      <t xml:space="preserve">10% </t>
    </r>
    <r>
      <rPr>
        <sz val="10"/>
        <color rgb="FF1B2A3A"/>
        <rFont val="Noto Sans CJK SC"/>
        <family val="2"/>
      </rPr>
      <t xml:space="preserve">最大生命护盾</t>
    </r>
  </si>
  <si>
    <r>
      <rPr>
        <sz val="10"/>
        <color rgb="FF1B2A3A"/>
        <rFont val="Noto Sans CJK SC"/>
        <family val="2"/>
      </rPr>
      <t xml:space="preserve">抗压</t>
    </r>
    <r>
      <rPr>
        <sz val="10"/>
        <color rgb="FF1B2A3A"/>
        <rFont val="Microsoft YaHei"/>
        <family val="0"/>
        <charset val="1"/>
      </rPr>
      <t xml:space="preserve">/</t>
    </r>
    <r>
      <rPr>
        <sz val="10"/>
        <color rgb="FF1B2A3A"/>
        <rFont val="Noto Sans CJK SC"/>
        <family val="2"/>
      </rPr>
      <t xml:space="preserve">铺场</t>
    </r>
  </si>
  <si>
    <r>
      <rPr>
        <sz val="10"/>
        <color rgb="FF1B2A3A"/>
        <rFont val="Noto Sans CJK SC"/>
        <family val="2"/>
      </rPr>
      <t xml:space="preserve">护盾升至 </t>
    </r>
    <r>
      <rPr>
        <sz val="10"/>
        <color rgb="FF1B2A3A"/>
        <rFont val="Microsoft YaHei"/>
        <family val="0"/>
        <charset val="1"/>
      </rPr>
      <t xml:space="preserve">25% + </t>
    </r>
    <r>
      <rPr>
        <sz val="10"/>
        <color rgb="FF1B2A3A"/>
        <rFont val="Noto Sans CJK SC"/>
        <family val="2"/>
      </rPr>
      <t xml:space="preserve">开战召唤 </t>
    </r>
    <r>
      <rPr>
        <sz val="10"/>
        <color rgb="FF1B2A3A"/>
        <rFont val="Microsoft YaHei"/>
        <family val="0"/>
        <charset val="1"/>
      </rPr>
      <t xml:space="preserve">2 </t>
    </r>
    <r>
      <rPr>
        <sz val="10"/>
        <color rgb="FF1B2A3A"/>
        <rFont val="Noto Sans CJK SC"/>
        <family val="2"/>
      </rPr>
      <t xml:space="preserve">架机械援军（</t>
    </r>
    <r>
      <rPr>
        <sz val="10"/>
        <color rgb="FF1B2A3A"/>
        <rFont val="Microsoft YaHei"/>
        <family val="0"/>
        <charset val="1"/>
      </rPr>
      <t xml:space="preserve">HP160/</t>
    </r>
    <r>
      <rPr>
        <sz val="10"/>
        <color rgb="FF1B2A3A"/>
        <rFont val="Noto Sans CJK SC"/>
        <family val="2"/>
      </rPr>
      <t xml:space="preserve">攻</t>
    </r>
    <r>
      <rPr>
        <sz val="10"/>
        <color rgb="FF1B2A3A"/>
        <rFont val="Microsoft YaHei"/>
        <family val="0"/>
        <charset val="1"/>
      </rPr>
      <t xml:space="preserve">22</t>
    </r>
    <r>
      <rPr>
        <sz val="10"/>
        <color rgb="FF1B2A3A"/>
        <rFont val="Noto Sans CJK SC"/>
        <family val="2"/>
      </rPr>
      <t xml:space="preserve">）</t>
    </r>
  </si>
  <si>
    <t xml:space="preserve">赛博幽影</t>
  </si>
  <si>
    <r>
      <rPr>
        <sz val="10"/>
        <color rgb="FF1B2A3A"/>
        <rFont val="Noto Sans CJK SC"/>
        <family val="2"/>
      </rPr>
      <t xml:space="preserve">霓紫 </t>
    </r>
    <r>
      <rPr>
        <sz val="10"/>
        <color rgb="FF1B2A3A"/>
        <rFont val="Microsoft YaHei"/>
        <family val="0"/>
        <charset val="1"/>
      </rPr>
      <t xml:space="preserve">#B06BFF</t>
    </r>
  </si>
  <si>
    <r>
      <rPr>
        <sz val="10"/>
        <color rgb="FF1B2A3A"/>
        <rFont val="Noto Sans CJK SC"/>
        <family val="2"/>
      </rPr>
      <t xml:space="preserve">暴击率 </t>
    </r>
    <r>
      <rPr>
        <sz val="10"/>
        <color rgb="FF1B2A3A"/>
        <rFont val="Microsoft YaHei"/>
        <family val="0"/>
        <charset val="1"/>
      </rPr>
      <t xml:space="preserve">+20%</t>
    </r>
    <r>
      <rPr>
        <sz val="10"/>
        <color rgb="FF1B2A3A"/>
        <rFont val="Noto Sans CJK SC"/>
        <family val="2"/>
      </rPr>
      <t xml:space="preserve">（暴击 </t>
    </r>
    <r>
      <rPr>
        <sz val="10"/>
        <color rgb="FF1B2A3A"/>
        <rFont val="Microsoft YaHei"/>
        <family val="0"/>
        <charset val="1"/>
      </rPr>
      <t xml:space="preserve">×1.5</t>
    </r>
    <r>
      <rPr>
        <sz val="10"/>
        <color rgb="FF1B2A3A"/>
        <rFont val="Noto Sans CJK SC"/>
        <family val="2"/>
      </rPr>
      <t xml:space="preserve">）</t>
    </r>
  </si>
  <si>
    <t xml:space="preserve">高爆发</t>
  </si>
  <si>
    <r>
      <rPr>
        <sz val="10"/>
        <color rgb="FF1B2A3A"/>
        <rFont val="Noto Sans CJK SC"/>
        <family val="2"/>
      </rPr>
      <t xml:space="preserve">全体攻速 </t>
    </r>
    <r>
      <rPr>
        <sz val="10"/>
        <color rgb="FF1B2A3A"/>
        <rFont val="Microsoft YaHei"/>
        <family val="0"/>
        <charset val="1"/>
      </rPr>
      <t xml:space="preserve">×1.4</t>
    </r>
    <r>
      <rPr>
        <sz val="10"/>
        <color rgb="FF1B2A3A"/>
        <rFont val="Noto Sans CJK SC"/>
        <family val="2"/>
      </rPr>
      <t xml:space="preserve">（</t>
    </r>
    <r>
      <rPr>
        <sz val="10"/>
        <color rgb="FF1B2A3A"/>
        <rFont val="Microsoft YaHei"/>
        <family val="0"/>
        <charset val="1"/>
      </rPr>
      <t xml:space="preserve">+40%</t>
    </r>
    <r>
      <rPr>
        <sz val="10"/>
        <color rgb="FF1B2A3A"/>
        <rFont val="Noto Sans CJK SC"/>
        <family val="2"/>
      </rPr>
      <t xml:space="preserve">）</t>
    </r>
  </si>
  <si>
    <r>
      <rPr>
        <b val="true"/>
        <sz val="14"/>
        <color rgb="FF00B8D4"/>
        <rFont val="Noto Sans CJK SC"/>
        <family val="2"/>
      </rPr>
      <t xml:space="preserve">舰种羁绊 </t>
    </r>
    <r>
      <rPr>
        <b val="true"/>
        <sz val="14"/>
        <color rgb="FF00B8D4"/>
        <rFont val="Microsoft YaHei"/>
        <family val="0"/>
        <charset val="1"/>
      </rPr>
      <t xml:space="preserve">· ✅</t>
    </r>
    <r>
      <rPr>
        <b val="true"/>
        <sz val="14"/>
        <color rgb="FF00B8D4"/>
        <rFont val="Noto Sans CJK SC"/>
        <family val="2"/>
      </rPr>
      <t xml:space="preserve">（辅助仅 </t>
    </r>
    <r>
      <rPr>
        <b val="true"/>
        <sz val="14"/>
        <color rgb="FF00B8D4"/>
        <rFont val="Microsoft YaHei"/>
        <family val="0"/>
        <charset val="1"/>
      </rPr>
      <t xml:space="preserve">2 </t>
    </r>
    <r>
      <rPr>
        <b val="true"/>
        <sz val="14"/>
        <color rgb="FF00B8D4"/>
        <rFont val="Noto Sans CJK SC"/>
        <family val="2"/>
      </rPr>
      <t xml:space="preserve">档）</t>
    </r>
  </si>
  <si>
    <r>
      <rPr>
        <sz val="9"/>
        <color rgb="FF6F7E92"/>
        <rFont val="Noto Sans CJK SC"/>
        <family val="2"/>
      </rPr>
      <t xml:space="preserve">与阵营独立叠加，一队可同时吃多条。⚠ 辅助当前无 </t>
    </r>
    <r>
      <rPr>
        <sz val="9"/>
        <color rgb="FF6F7E92"/>
        <rFont val="Microsoft YaHei"/>
        <family val="0"/>
        <charset val="1"/>
      </rPr>
      <t xml:space="preserve">4 </t>
    </r>
    <r>
      <rPr>
        <sz val="9"/>
        <color rgb="FF6F7E92"/>
        <rFont val="Noto Sans CJK SC"/>
        <family val="2"/>
      </rPr>
      <t xml:space="preserve">档，凑 </t>
    </r>
    <r>
      <rPr>
        <sz val="9"/>
        <color rgb="FF6F7E92"/>
        <rFont val="Microsoft YaHei"/>
        <family val="0"/>
        <charset val="1"/>
      </rPr>
      <t xml:space="preserve">4 </t>
    </r>
    <r>
      <rPr>
        <sz val="9"/>
        <color rgb="FF6F7E92"/>
        <rFont val="Noto Sans CJK SC"/>
        <family val="2"/>
      </rPr>
      <t xml:space="preserve">件与 </t>
    </r>
    <r>
      <rPr>
        <sz val="9"/>
        <color rgb="FF6F7E92"/>
        <rFont val="Microsoft YaHei"/>
        <family val="0"/>
        <charset val="1"/>
      </rPr>
      <t xml:space="preserve">2 </t>
    </r>
    <r>
      <rPr>
        <sz val="9"/>
        <color rgb="FF6F7E92"/>
        <rFont val="Noto Sans CJK SC"/>
        <family val="2"/>
      </rPr>
      <t xml:space="preserve">件效果相同。</t>
    </r>
  </si>
  <si>
    <t xml:space="preserve">舰种</t>
  </si>
  <si>
    <t xml:space="preserve">定位</t>
  </si>
  <si>
    <t xml:space="preserve">突击</t>
  </si>
  <si>
    <t xml:space="preserve">前排肉盾</t>
  </si>
  <si>
    <r>
      <rPr>
        <sz val="10"/>
        <color rgb="FF1B2A3A"/>
        <rFont val="Noto Sans CJK SC"/>
        <family val="2"/>
      </rPr>
      <t xml:space="preserve">前排减伤 </t>
    </r>
    <r>
      <rPr>
        <sz val="10"/>
        <color rgb="FF1B2A3A"/>
        <rFont val="Microsoft YaHei"/>
        <family val="0"/>
        <charset val="1"/>
      </rPr>
      <t xml:space="preserve">20%</t>
    </r>
    <r>
      <rPr>
        <sz val="10"/>
        <color rgb="FF1B2A3A"/>
        <rFont val="Noto Sans CJK SC"/>
        <family val="2"/>
      </rPr>
      <t xml:space="preserve">（敌方本就优先攻击前排）</t>
    </r>
  </si>
  <si>
    <r>
      <rPr>
        <sz val="10"/>
        <color rgb="FF1B2A3A"/>
        <rFont val="Noto Sans CJK SC"/>
        <family val="2"/>
      </rPr>
      <t xml:space="preserve">前排减伤 </t>
    </r>
    <r>
      <rPr>
        <sz val="10"/>
        <color rgb="FF1B2A3A"/>
        <rFont val="Microsoft YaHei"/>
        <family val="0"/>
        <charset val="1"/>
      </rPr>
      <t xml:space="preserve">40%</t>
    </r>
  </si>
  <si>
    <t xml:space="preserve">炮舰</t>
  </si>
  <si>
    <t xml:space="preserve">后排高伤</t>
  </si>
  <si>
    <r>
      <rPr>
        <sz val="10"/>
        <color rgb="FF1B2A3A"/>
        <rFont val="Noto Sans CJK SC"/>
        <family val="2"/>
      </rPr>
      <t xml:space="preserve">全体伤害 </t>
    </r>
    <r>
      <rPr>
        <sz val="10"/>
        <color rgb="FF1B2A3A"/>
        <rFont val="Microsoft YaHei"/>
        <family val="0"/>
        <charset val="1"/>
      </rPr>
      <t xml:space="preserve">×1.25</t>
    </r>
    <r>
      <rPr>
        <sz val="10"/>
        <color rgb="FF1B2A3A"/>
        <rFont val="Noto Sans CJK SC"/>
        <family val="2"/>
      </rPr>
      <t xml:space="preserve">（</t>
    </r>
    <r>
      <rPr>
        <sz val="10"/>
        <color rgb="FF1B2A3A"/>
        <rFont val="Microsoft YaHei"/>
        <family val="0"/>
        <charset val="1"/>
      </rPr>
      <t xml:space="preserve">+25%</t>
    </r>
    <r>
      <rPr>
        <sz val="10"/>
        <color rgb="FF1B2A3A"/>
        <rFont val="Noto Sans CJK SC"/>
        <family val="2"/>
      </rPr>
      <t xml:space="preserve">）</t>
    </r>
  </si>
  <si>
    <r>
      <rPr>
        <sz val="10"/>
        <color rgb="FF1B2A3A"/>
        <rFont val="Microsoft YaHei"/>
        <family val="0"/>
        <charset val="1"/>
      </rPr>
      <t xml:space="preserve">+ </t>
    </r>
    <r>
      <rPr>
        <sz val="10"/>
        <color rgb="FF1B2A3A"/>
        <rFont val="Noto Sans CJK SC"/>
        <family val="2"/>
      </rPr>
      <t xml:space="preserve">溅射：额外对另一敌人造成 </t>
    </r>
    <r>
      <rPr>
        <sz val="10"/>
        <color rgb="FF1B2A3A"/>
        <rFont val="Microsoft YaHei"/>
        <family val="0"/>
        <charset val="1"/>
      </rPr>
      <t xml:space="preserve">50% </t>
    </r>
    <r>
      <rPr>
        <sz val="10"/>
        <color rgb="FF1B2A3A"/>
        <rFont val="Noto Sans CJK SC"/>
        <family val="2"/>
      </rPr>
      <t xml:space="preserve">伤害</t>
    </r>
  </si>
  <si>
    <t xml:space="preserve">无人机</t>
  </si>
  <si>
    <t xml:space="preserve">数量群攻</t>
  </si>
  <si>
    <r>
      <rPr>
        <sz val="10"/>
        <color rgb="FF1B2A3A"/>
        <rFont val="Noto Sans CJK SC"/>
        <family val="2"/>
      </rPr>
      <t xml:space="preserve">开战额外召唤 </t>
    </r>
    <r>
      <rPr>
        <sz val="10"/>
        <color rgb="FF1B2A3A"/>
        <rFont val="Microsoft YaHei"/>
        <family val="0"/>
        <charset val="1"/>
      </rPr>
      <t xml:space="preserve">1 </t>
    </r>
    <r>
      <rPr>
        <sz val="10"/>
        <color rgb="FF1B2A3A"/>
        <rFont val="Noto Sans CJK SC"/>
        <family val="2"/>
      </rPr>
      <t xml:space="preserve">架僚机（</t>
    </r>
    <r>
      <rPr>
        <sz val="10"/>
        <color rgb="FF1B2A3A"/>
        <rFont val="Microsoft YaHei"/>
        <family val="0"/>
        <charset val="1"/>
      </rPr>
      <t xml:space="preserve">HP110/</t>
    </r>
    <r>
      <rPr>
        <sz val="10"/>
        <color rgb="FF1B2A3A"/>
        <rFont val="Noto Sans CJK SC"/>
        <family val="2"/>
      </rPr>
      <t xml:space="preserve">攻</t>
    </r>
    <r>
      <rPr>
        <sz val="10"/>
        <color rgb="FF1B2A3A"/>
        <rFont val="Microsoft YaHei"/>
        <family val="0"/>
        <charset val="1"/>
      </rPr>
      <t xml:space="preserve">18</t>
    </r>
    <r>
      <rPr>
        <sz val="10"/>
        <color rgb="FF1B2A3A"/>
        <rFont val="Noto Sans CJK SC"/>
        <family val="2"/>
      </rPr>
      <t xml:space="preserve">）</t>
    </r>
  </si>
  <si>
    <r>
      <rPr>
        <sz val="10"/>
        <color rgb="FF1B2A3A"/>
        <rFont val="Noto Sans CJK SC"/>
        <family val="2"/>
      </rPr>
      <t xml:space="preserve">开战额外召唤 </t>
    </r>
    <r>
      <rPr>
        <sz val="10"/>
        <color rgb="FF1B2A3A"/>
        <rFont val="Microsoft YaHei"/>
        <family val="0"/>
        <charset val="1"/>
      </rPr>
      <t xml:space="preserve">3 </t>
    </r>
    <r>
      <rPr>
        <sz val="10"/>
        <color rgb="FF1B2A3A"/>
        <rFont val="Noto Sans CJK SC"/>
        <family val="2"/>
      </rPr>
      <t xml:space="preserve">架僚机</t>
    </r>
  </si>
  <si>
    <t xml:space="preserve">辅助</t>
  </si>
  <si>
    <t xml:space="preserve">治疗</t>
  </si>
  <si>
    <r>
      <rPr>
        <sz val="10"/>
        <color rgb="FF1B2A3A"/>
        <rFont val="Noto Sans CJK SC"/>
        <family val="2"/>
      </rPr>
      <t xml:space="preserve">每秒治疗当前血量百分比最低的 </t>
    </r>
    <r>
      <rPr>
        <sz val="10"/>
        <color rgb="FF1B2A3A"/>
        <rFont val="Microsoft YaHei"/>
        <family val="0"/>
        <charset val="1"/>
      </rPr>
      <t xml:space="preserve">1 </t>
    </r>
    <r>
      <rPr>
        <sz val="10"/>
        <color rgb="FF1B2A3A"/>
        <rFont val="Noto Sans CJK SC"/>
        <family val="2"/>
      </rPr>
      <t xml:space="preserve">名友军 </t>
    </r>
    <r>
      <rPr>
        <sz val="10"/>
        <color rgb="FF1B2A3A"/>
        <rFont val="Microsoft YaHei"/>
        <family val="0"/>
        <charset val="1"/>
      </rPr>
      <t xml:space="preserve">2% </t>
    </r>
    <r>
      <rPr>
        <sz val="10"/>
        <color rgb="FF1B2A3A"/>
        <rFont val="Noto Sans CJK SC"/>
        <family val="2"/>
      </rPr>
      <t xml:space="preserve">最大生命</t>
    </r>
  </si>
  <si>
    <r>
      <rPr>
        <b val="true"/>
        <sz val="10"/>
        <color rgb="FFC0862B"/>
        <rFont val="Noto Sans CJK SC"/>
        <family val="2"/>
      </rPr>
      <t xml:space="preserve">（</t>
    </r>
    <r>
      <rPr>
        <b val="true"/>
        <sz val="10"/>
        <color rgb="FFC0862B"/>
        <rFont val="Microsoft YaHei"/>
        <family val="0"/>
        <charset val="1"/>
      </rPr>
      <t xml:space="preserve">4</t>
    </r>
    <r>
      <rPr>
        <b val="true"/>
        <sz val="10"/>
        <color rgb="FFC0862B"/>
        <rFont val="Noto Sans CJK SC"/>
        <family val="2"/>
      </rPr>
      <t xml:space="preserve">档未做）</t>
    </r>
  </si>
  <si>
    <r>
      <rPr>
        <b val="true"/>
        <sz val="10"/>
        <color rgb="FFC0862B"/>
        <rFont val="Noto Sans CJK SC"/>
        <family val="2"/>
      </rPr>
      <t xml:space="preserve">🔮 暂与 </t>
    </r>
    <r>
      <rPr>
        <b val="true"/>
        <sz val="10"/>
        <color rgb="FFC0862B"/>
        <rFont val="Microsoft YaHei"/>
        <family val="0"/>
        <charset val="1"/>
      </rPr>
      <t xml:space="preserve">2 </t>
    </r>
    <r>
      <rPr>
        <b val="true"/>
        <sz val="10"/>
        <color rgb="FFC0862B"/>
        <rFont val="Noto Sans CJK SC"/>
        <family val="2"/>
      </rPr>
      <t xml:space="preserve">档相同</t>
    </r>
  </si>
  <si>
    <t xml:space="preserve">阵营克制系数 🔮 当前版本未实现</t>
  </si>
  <si>
    <r>
      <rPr>
        <sz val="9"/>
        <color rgb="FF6F7E92"/>
        <rFont val="Noto Sans CJK SC"/>
        <family val="2"/>
      </rPr>
      <t xml:space="preserve">设计预留：循环克制 帝国→机械→赛博→异星→帝国，克制</t>
    </r>
    <r>
      <rPr>
        <sz val="9"/>
        <color rgb="FF6F7E92"/>
        <rFont val="Microsoft YaHei"/>
        <family val="0"/>
        <charset val="1"/>
      </rPr>
      <t xml:space="preserve">×1.20 / </t>
    </r>
    <r>
      <rPr>
        <sz val="9"/>
        <color rgb="FF6F7E92"/>
        <rFont val="Noto Sans CJK SC"/>
        <family val="2"/>
      </rPr>
      <t xml:space="preserve">被克</t>
    </r>
    <r>
      <rPr>
        <sz val="9"/>
        <color rgb="FF6F7E92"/>
        <rFont val="Microsoft YaHei"/>
        <family val="0"/>
        <charset val="1"/>
      </rPr>
      <t xml:space="preserve">×0.85</t>
    </r>
    <r>
      <rPr>
        <sz val="9"/>
        <color rgb="FF6F7E92"/>
        <rFont val="Noto Sans CJK SC"/>
        <family val="2"/>
      </rPr>
      <t xml:space="preserve">。战斗代码 </t>
    </r>
    <r>
      <rPr>
        <sz val="9"/>
        <color rgb="FF6F7E92"/>
        <rFont val="Microsoft YaHei"/>
        <family val="0"/>
        <charset val="1"/>
      </rPr>
      <t xml:space="preserve">battle.ts </t>
    </r>
    <r>
      <rPr>
        <sz val="9"/>
        <color rgb="FF6F7E92"/>
        <rFont val="Noto Sans CJK SC"/>
        <family val="2"/>
      </rPr>
      <t xml:space="preserve">暂无此系统，接入后本表生效。</t>
    </r>
  </si>
  <si>
    <t xml:space="preserve">攻↓ 守→</t>
  </si>
  <si>
    <t xml:space="preserve">帝国</t>
  </si>
  <si>
    <t xml:space="preserve">机械</t>
  </si>
  <si>
    <t xml:space="preserve">赛博</t>
  </si>
  <si>
    <t xml:space="preserve">异星</t>
  </si>
  <si>
    <t xml:space="preserve">1.00</t>
  </si>
  <si>
    <r>
      <rPr>
        <sz val="10"/>
        <color rgb="FF1B2A3A"/>
        <rFont val="Microsoft YaHei"/>
        <family val="0"/>
        <charset val="1"/>
      </rPr>
      <t xml:space="preserve">1.20 </t>
    </r>
    <r>
      <rPr>
        <sz val="10"/>
        <color rgb="FF1B2A3A"/>
        <rFont val="Noto Sans CJK SC"/>
        <family val="2"/>
      </rPr>
      <t xml:space="preserve">克</t>
    </r>
  </si>
  <si>
    <r>
      <rPr>
        <sz val="10"/>
        <color rgb="FF1B2A3A"/>
        <rFont val="Microsoft YaHei"/>
        <family val="0"/>
        <charset val="1"/>
      </rPr>
      <t xml:space="preserve">0.85 </t>
    </r>
    <r>
      <rPr>
        <sz val="10"/>
        <color rgb="FF1B2A3A"/>
        <rFont val="Noto Sans CJK SC"/>
        <family val="2"/>
      </rPr>
      <t xml:space="preserve">被克</t>
    </r>
  </si>
  <si>
    <r>
      <rPr>
        <b val="true"/>
        <sz val="14"/>
        <color rgb="FF00B8D4"/>
        <rFont val="Noto Sans CJK SC"/>
        <family val="2"/>
      </rPr>
      <t xml:space="preserve">升星 </t>
    </r>
    <r>
      <rPr>
        <b val="true"/>
        <sz val="14"/>
        <color rgb="FF00B8D4"/>
        <rFont val="Microsoft YaHei"/>
        <family val="0"/>
        <charset val="1"/>
      </rPr>
      <t xml:space="preserve">· </t>
    </r>
    <r>
      <rPr>
        <b val="true"/>
        <sz val="14"/>
        <color rgb="FF00B8D4"/>
        <rFont val="Noto Sans CJK SC"/>
        <family val="2"/>
      </rPr>
      <t xml:space="preserve">属性倍率 ✅（专属技 🔮 未做）</t>
    </r>
  </si>
  <si>
    <r>
      <rPr>
        <sz val="9"/>
        <color rgb="FF6F7E92"/>
        <rFont val="Noto Sans CJK SC"/>
        <family val="2"/>
      </rPr>
      <t xml:space="preserve">编队里 </t>
    </r>
    <r>
      <rPr>
        <sz val="9"/>
        <color rgb="FF6F7E92"/>
        <rFont val="Microsoft YaHei"/>
        <family val="0"/>
        <charset val="1"/>
      </rPr>
      <t xml:space="preserve">2 </t>
    </r>
    <r>
      <rPr>
        <sz val="9"/>
        <color rgb="FF6F7E92"/>
        <rFont val="Noto Sans CJK SC"/>
        <family val="2"/>
      </rPr>
      <t xml:space="preserve">艘同级同星叠放自动升星（</t>
    </r>
    <r>
      <rPr>
        <sz val="9"/>
        <color rgb="FF6F7E92"/>
        <rFont val="Microsoft YaHei"/>
        <family val="0"/>
        <charset val="1"/>
      </rPr>
      <t xml:space="preserve">STAR_MUL</t>
    </r>
    <r>
      <rPr>
        <sz val="9"/>
        <color rgb="FF6F7E92"/>
        <rFont val="Noto Sans CJK SC"/>
        <family val="2"/>
      </rPr>
      <t xml:space="preserve">）。当前升星</t>
    </r>
    <r>
      <rPr>
        <sz val="9"/>
        <color rgb="FF6F7E92"/>
        <rFont val="Microsoft YaHei"/>
        <family val="0"/>
        <charset val="1"/>
      </rPr>
      <t xml:space="preserve">=</t>
    </r>
    <r>
      <rPr>
        <sz val="9"/>
        <color rgb="FF6F7E92"/>
        <rFont val="Noto Sans CJK SC"/>
        <family val="2"/>
      </rPr>
      <t xml:space="preserve">纯属性倍率，无专属主动技。</t>
    </r>
  </si>
  <si>
    <t xml:space="preserve">星级</t>
  </si>
  <si>
    <t xml:space="preserve">属性倍率</t>
  </si>
  <si>
    <t xml:space="preserve">主动技（规划）</t>
  </si>
  <si>
    <t xml:space="preserve">获得方式</t>
  </si>
  <si>
    <t xml:space="preserve">1★</t>
  </si>
  <si>
    <r>
      <rPr>
        <sz val="10"/>
        <color rgb="FF1B2A3A"/>
        <rFont val="Microsoft YaHei"/>
        <family val="0"/>
        <charset val="1"/>
      </rPr>
      <t xml:space="preserve">×1.0</t>
    </r>
    <r>
      <rPr>
        <sz val="10"/>
        <color rgb="FF1B2A3A"/>
        <rFont val="Noto Sans CJK SC"/>
        <family val="2"/>
      </rPr>
      <t xml:space="preserve">（基础）</t>
    </r>
  </si>
  <si>
    <t xml:space="preserve">🔮 无主动技</t>
  </si>
  <si>
    <t xml:space="preserve">合成出的初始形态</t>
  </si>
  <si>
    <t xml:space="preserve">2★</t>
  </si>
  <si>
    <t xml:space="preserve">×1.8</t>
  </si>
  <si>
    <t xml:space="preserve">🔮 专属主动技（未实现）</t>
  </si>
  <si>
    <r>
      <rPr>
        <sz val="10"/>
        <color rgb="FF1B2A3A"/>
        <rFont val="Microsoft YaHei"/>
        <family val="0"/>
        <charset val="1"/>
      </rPr>
      <t xml:space="preserve">2 </t>
    </r>
    <r>
      <rPr>
        <sz val="10"/>
        <color rgb="FF1B2A3A"/>
        <rFont val="Noto Sans CJK SC"/>
        <family val="2"/>
      </rPr>
      <t xml:space="preserve">艘 </t>
    </r>
    <r>
      <rPr>
        <sz val="10"/>
        <color rgb="FF1B2A3A"/>
        <rFont val="Microsoft YaHei"/>
        <family val="0"/>
        <charset val="1"/>
      </rPr>
      <t xml:space="preserve">1★ </t>
    </r>
    <r>
      <rPr>
        <sz val="10"/>
        <color rgb="FF1B2A3A"/>
        <rFont val="Noto Sans CJK SC"/>
        <family val="2"/>
      </rPr>
      <t xml:space="preserve">叠放</t>
    </r>
  </si>
  <si>
    <t xml:space="preserve">3★</t>
  </si>
  <si>
    <t xml:space="preserve">×3.2</t>
  </si>
  <si>
    <r>
      <rPr>
        <b val="true"/>
        <sz val="10"/>
        <color rgb="FFC0862B"/>
        <rFont val="Noto Sans CJK SC"/>
        <family val="2"/>
      </rPr>
      <t xml:space="preserve">🔮 强化 </t>
    </r>
    <r>
      <rPr>
        <b val="true"/>
        <sz val="10"/>
        <color rgb="FFC0862B"/>
        <rFont val="Microsoft YaHei"/>
        <family val="0"/>
        <charset val="1"/>
      </rPr>
      <t xml:space="preserve">+ </t>
    </r>
    <r>
      <rPr>
        <b val="true"/>
        <sz val="10"/>
        <color rgb="FFC0862B"/>
        <rFont val="Noto Sans CJK SC"/>
        <family val="2"/>
      </rPr>
      <t xml:space="preserve">特效（未实现）</t>
    </r>
  </si>
  <si>
    <r>
      <rPr>
        <sz val="10"/>
        <color rgb="FF1B2A3A"/>
        <rFont val="Microsoft YaHei"/>
        <family val="0"/>
        <charset val="1"/>
      </rPr>
      <t xml:space="preserve">2 </t>
    </r>
    <r>
      <rPr>
        <sz val="10"/>
        <color rgb="FF1B2A3A"/>
        <rFont val="Noto Sans CJK SC"/>
        <family val="2"/>
      </rPr>
      <t xml:space="preserve">艘 </t>
    </r>
    <r>
      <rPr>
        <sz val="10"/>
        <color rgb="FF1B2A3A"/>
        <rFont val="Microsoft YaHei"/>
        <family val="0"/>
        <charset val="1"/>
      </rPr>
      <t xml:space="preserve">2★ </t>
    </r>
    <r>
      <rPr>
        <sz val="10"/>
        <color rgb="FF1B2A3A"/>
        <rFont val="Noto Sans CJK SC"/>
        <family val="2"/>
      </rPr>
      <t xml:space="preserve">叠放</t>
    </r>
  </si>
  <si>
    <r>
      <rPr>
        <b val="true"/>
        <sz val="14"/>
        <color rgb="FF00B8D4"/>
        <rFont val="Noto Sans CJK SC"/>
        <family val="2"/>
      </rPr>
      <t xml:space="preserve">星区关卡 </t>
    </r>
    <r>
      <rPr>
        <b val="true"/>
        <sz val="14"/>
        <color rgb="FF00B8D4"/>
        <rFont val="Microsoft YaHei"/>
        <family val="0"/>
        <charset val="1"/>
      </rPr>
      <t xml:space="preserve">· 5 </t>
    </r>
    <r>
      <rPr>
        <b val="true"/>
        <sz val="14"/>
        <color rgb="FF00B8D4"/>
        <rFont val="Noto Sans CJK SC"/>
        <family val="2"/>
      </rPr>
      <t xml:space="preserve">星区 </t>
    </r>
    <r>
      <rPr>
        <b val="true"/>
        <sz val="14"/>
        <color rgb="FF00B8D4"/>
        <rFont val="Microsoft YaHei"/>
        <family val="0"/>
        <charset val="1"/>
      </rPr>
      <t xml:space="preserve">× 3 </t>
    </r>
    <r>
      <rPr>
        <b val="true"/>
        <sz val="14"/>
        <color rgb="FF00B8D4"/>
        <rFont val="Noto Sans CJK SC"/>
        <family val="2"/>
      </rPr>
      <t xml:space="preserve">波 ✅（改系数自动重算）</t>
    </r>
  </si>
  <si>
    <r>
      <rPr>
        <sz val="9"/>
        <color rgb="FF6F7E92"/>
        <rFont val="Noto Sans CJK SC"/>
        <family val="2"/>
      </rPr>
      <t xml:space="preserve">每星区 </t>
    </r>
    <r>
      <rPr>
        <sz val="9"/>
        <color rgb="FF6F7E92"/>
        <rFont val="Microsoft YaHei"/>
        <family val="0"/>
        <charset val="1"/>
      </rPr>
      <t xml:space="preserve">3 </t>
    </r>
    <r>
      <rPr>
        <sz val="9"/>
        <color rgb="FF6F7E92"/>
        <rFont val="Noto Sans CJK SC"/>
        <family val="2"/>
      </rPr>
      <t xml:space="preserve">波，第 </t>
    </r>
    <r>
      <rPr>
        <sz val="9"/>
        <color rgb="FF6F7E92"/>
        <rFont val="Microsoft YaHei"/>
        <family val="0"/>
        <charset val="1"/>
      </rPr>
      <t xml:space="preserve">3 </t>
    </r>
    <r>
      <rPr>
        <sz val="9"/>
        <color rgb="FF6F7E92"/>
        <rFont val="Noto Sans CJK SC"/>
        <family val="2"/>
      </rPr>
      <t xml:space="preserve">波为 </t>
    </r>
    <r>
      <rPr>
        <sz val="9"/>
        <color rgb="FF6F7E92"/>
        <rFont val="Microsoft YaHei"/>
        <family val="0"/>
        <charset val="1"/>
      </rPr>
      <t xml:space="preserve">Boss</t>
    </r>
    <r>
      <rPr>
        <sz val="9"/>
        <color rgb="FF6F7E92"/>
        <rFont val="Noto Sans CJK SC"/>
        <family val="2"/>
      </rPr>
      <t xml:space="preserve">（</t>
    </r>
    <r>
      <rPr>
        <sz val="9"/>
        <color rgb="FF6F7E92"/>
        <rFont val="Microsoft YaHei"/>
        <family val="0"/>
        <charset val="1"/>
      </rPr>
      <t xml:space="preserve">fleet.genEnemies</t>
    </r>
    <r>
      <rPr>
        <sz val="9"/>
        <color rgb="FF6F7E92"/>
        <rFont val="Noto Sans CJK SC"/>
        <family val="2"/>
      </rPr>
      <t xml:space="preserve">）。</t>
    </r>
    <r>
      <rPr>
        <sz val="9"/>
        <color rgb="FF6F7E92"/>
        <rFont val="Microsoft YaHei"/>
        <family val="0"/>
        <charset val="1"/>
      </rPr>
      <t xml:space="preserve">lv=</t>
    </r>
    <r>
      <rPr>
        <sz val="9"/>
        <color rgb="FF6F7E92"/>
        <rFont val="Noto Sans CJK SC"/>
        <family val="2"/>
      </rPr>
      <t xml:space="preserve">星区</t>
    </r>
    <r>
      <rPr>
        <sz val="9"/>
        <color rgb="FF6F7E92"/>
        <rFont val="Microsoft YaHei"/>
        <family val="0"/>
        <charset val="1"/>
      </rPr>
      <t xml:space="preserve">-1</t>
    </r>
    <r>
      <rPr>
        <sz val="9"/>
        <color rgb="FF6F7E92"/>
        <rFont val="Noto Sans CJK SC"/>
        <family val="2"/>
      </rPr>
      <t xml:space="preserve">，</t>
    </r>
    <r>
      <rPr>
        <sz val="9"/>
        <color rgb="FF6F7E92"/>
        <rFont val="Microsoft YaHei"/>
        <family val="0"/>
        <charset val="1"/>
      </rPr>
      <t xml:space="preserve">wv=</t>
    </r>
    <r>
      <rPr>
        <sz val="9"/>
        <color rgb="FF6F7E92"/>
        <rFont val="Noto Sans CJK SC"/>
        <family val="2"/>
      </rPr>
      <t xml:space="preserve">波次</t>
    </r>
    <r>
      <rPr>
        <sz val="9"/>
        <color rgb="FF6F7E92"/>
        <rFont val="Microsoft YaHei"/>
        <family val="0"/>
        <charset val="1"/>
      </rPr>
      <t xml:space="preserve">-1</t>
    </r>
    <r>
      <rPr>
        <sz val="9"/>
        <color rgb="FF6F7E92"/>
        <rFont val="Noto Sans CJK SC"/>
        <family val="2"/>
      </rPr>
      <t xml:space="preserve">。下方系数为可调输入（蓝字淡黄底）。</t>
    </r>
  </si>
  <si>
    <t xml:space="preserve">可调系数</t>
  </si>
  <si>
    <r>
      <rPr>
        <sz val="10"/>
        <color rgb="FF1B2A3A"/>
        <rFont val="Noto Sans CJK SC"/>
        <family val="2"/>
      </rPr>
      <t xml:space="preserve">普通敌</t>
    </r>
    <r>
      <rPr>
        <sz val="10"/>
        <color rgb="FF1B2A3A"/>
        <rFont val="Microsoft YaHei"/>
        <family val="0"/>
        <charset val="1"/>
      </rPr>
      <t xml:space="preserve">·</t>
    </r>
    <r>
      <rPr>
        <sz val="10"/>
        <color rgb="FF1B2A3A"/>
        <rFont val="Noto Sans CJK SC"/>
        <family val="2"/>
      </rPr>
      <t xml:space="preserve">基础</t>
    </r>
    <r>
      <rPr>
        <sz val="10"/>
        <color rgb="FF1B2A3A"/>
        <rFont val="Microsoft YaHei"/>
        <family val="0"/>
        <charset val="1"/>
      </rPr>
      <t xml:space="preserve">HP</t>
    </r>
  </si>
  <si>
    <r>
      <rPr>
        <sz val="10"/>
        <color rgb="FF1B2A3A"/>
        <rFont val="Noto Sans CJK SC"/>
        <family val="2"/>
      </rPr>
      <t xml:space="preserve">普通敌</t>
    </r>
    <r>
      <rPr>
        <sz val="10"/>
        <color rgb="FF1B2A3A"/>
        <rFont val="Microsoft YaHei"/>
        <family val="0"/>
        <charset val="1"/>
      </rPr>
      <t xml:space="preserve">·</t>
    </r>
    <r>
      <rPr>
        <sz val="10"/>
        <color rgb="FF1B2A3A"/>
        <rFont val="Noto Sans CJK SC"/>
        <family val="2"/>
      </rPr>
      <t xml:space="preserve">星区成长</t>
    </r>
    <r>
      <rPr>
        <sz val="10"/>
        <color rgb="FF1B2A3A"/>
        <rFont val="Microsoft YaHei"/>
        <family val="0"/>
        <charset val="1"/>
      </rPr>
      <t xml:space="preserve">/</t>
    </r>
    <r>
      <rPr>
        <sz val="10"/>
        <color rgb="FF1B2A3A"/>
        <rFont val="Noto Sans CJK SC"/>
        <family val="2"/>
      </rPr>
      <t xml:space="preserve">级</t>
    </r>
  </si>
  <si>
    <r>
      <rPr>
        <sz val="10"/>
        <color rgb="FF1B2A3A"/>
        <rFont val="Noto Sans CJK SC"/>
        <family val="2"/>
      </rPr>
      <t xml:space="preserve">普通敌</t>
    </r>
    <r>
      <rPr>
        <sz val="10"/>
        <color rgb="FF1B2A3A"/>
        <rFont val="Microsoft YaHei"/>
        <family val="0"/>
        <charset val="1"/>
      </rPr>
      <t xml:space="preserve">·</t>
    </r>
    <r>
      <rPr>
        <sz val="10"/>
        <color rgb="FF1B2A3A"/>
        <rFont val="Noto Sans CJK SC"/>
        <family val="2"/>
      </rPr>
      <t xml:space="preserve">波次成长</t>
    </r>
    <r>
      <rPr>
        <sz val="10"/>
        <color rgb="FF1B2A3A"/>
        <rFont val="Microsoft YaHei"/>
        <family val="0"/>
        <charset val="1"/>
      </rPr>
      <t xml:space="preserve">/</t>
    </r>
    <r>
      <rPr>
        <sz val="10"/>
        <color rgb="FF1B2A3A"/>
        <rFont val="Noto Sans CJK SC"/>
        <family val="2"/>
      </rPr>
      <t xml:space="preserve">波</t>
    </r>
  </si>
  <si>
    <r>
      <rPr>
        <sz val="10"/>
        <color rgb="FF1B2A3A"/>
        <rFont val="Noto Sans CJK SC"/>
        <family val="2"/>
      </rPr>
      <t xml:space="preserve">普通敌</t>
    </r>
    <r>
      <rPr>
        <sz val="10"/>
        <color rgb="FF1B2A3A"/>
        <rFont val="Microsoft YaHei"/>
        <family val="0"/>
        <charset val="1"/>
      </rPr>
      <t xml:space="preserve">·</t>
    </r>
    <r>
      <rPr>
        <sz val="10"/>
        <color rgb="FF1B2A3A"/>
        <rFont val="Noto Sans CJK SC"/>
        <family val="2"/>
      </rPr>
      <t xml:space="preserve">基础攻击</t>
    </r>
  </si>
  <si>
    <r>
      <rPr>
        <sz val="10"/>
        <color rgb="FF1B2A3A"/>
        <rFont val="Noto Sans CJK SC"/>
        <family val="2"/>
      </rPr>
      <t xml:space="preserve">普通敌</t>
    </r>
    <r>
      <rPr>
        <sz val="10"/>
        <color rgb="FF1B2A3A"/>
        <rFont val="Microsoft YaHei"/>
        <family val="0"/>
        <charset val="1"/>
      </rPr>
      <t xml:space="preserve">·</t>
    </r>
    <r>
      <rPr>
        <sz val="10"/>
        <color rgb="FF1B2A3A"/>
        <rFont val="Noto Sans CJK SC"/>
        <family val="2"/>
      </rPr>
      <t xml:space="preserve">攻击星区成长</t>
    </r>
  </si>
  <si>
    <t xml:space="preserve">星区</t>
  </si>
  <si>
    <t xml:space="preserve">波次</t>
  </si>
  <si>
    <t xml:space="preserve">类型</t>
  </si>
  <si>
    <t xml:space="preserve">敌军数量</t>
  </si>
  <si>
    <r>
      <rPr>
        <b val="true"/>
        <sz val="11"/>
        <color rgb="FFFFFFFF"/>
        <rFont val="Noto Sans CJK SC"/>
        <family val="2"/>
      </rPr>
      <t xml:space="preserve">单体</t>
    </r>
    <r>
      <rPr>
        <b val="true"/>
        <sz val="11"/>
        <color rgb="FFFFFFFF"/>
        <rFont val="Microsoft YaHei"/>
        <family val="0"/>
        <charset val="1"/>
      </rPr>
      <t xml:space="preserve">HP</t>
    </r>
  </si>
  <si>
    <t xml:space="preserve">单体攻击</t>
  </si>
  <si>
    <t xml:space="preserve">攻速</t>
  </si>
  <si>
    <t xml:space="preserve">备注</t>
  </si>
  <si>
    <t xml:space="preserve">普通编队</t>
  </si>
  <si>
    <r>
      <rPr>
        <sz val="10"/>
        <color rgb="FF1B2A3A"/>
        <rFont val="Noto Sans CJK SC"/>
        <family val="2"/>
      </rPr>
      <t xml:space="preserve">普通敌：数量</t>
    </r>
    <r>
      <rPr>
        <sz val="10"/>
        <color rgb="FF1B2A3A"/>
        <rFont val="Microsoft YaHei"/>
        <family val="0"/>
        <charset val="1"/>
      </rPr>
      <t xml:space="preserve">=MIN(5,3+</t>
    </r>
    <r>
      <rPr>
        <sz val="10"/>
        <color rgb="FF1B2A3A"/>
        <rFont val="Noto Sans CJK SC"/>
        <family val="2"/>
      </rPr>
      <t xml:space="preserve">星区</t>
    </r>
    <r>
      <rPr>
        <sz val="10"/>
        <color rgb="FF1B2A3A"/>
        <rFont val="Microsoft YaHei"/>
        <family val="0"/>
        <charset val="1"/>
      </rPr>
      <t xml:space="preserve">-1)</t>
    </r>
  </si>
  <si>
    <r>
      <rPr>
        <sz val="10"/>
        <color rgb="FF1B2A3A"/>
        <rFont val="Microsoft YaHei"/>
        <family val="0"/>
        <charset val="1"/>
      </rPr>
      <t xml:space="preserve">Boss</t>
    </r>
    <r>
      <rPr>
        <sz val="10"/>
        <color rgb="FF1B2A3A"/>
        <rFont val="Noto Sans CJK SC"/>
        <family val="2"/>
      </rPr>
      <t xml:space="preserve">波「秃鹫号」</t>
    </r>
  </si>
  <si>
    <r>
      <rPr>
        <sz val="10"/>
        <color rgb="FF1B2A3A"/>
        <rFont val="Microsoft YaHei"/>
        <family val="0"/>
        <charset val="1"/>
      </rPr>
      <t xml:space="preserve">1 Boss + 1 </t>
    </r>
    <r>
      <rPr>
        <sz val="10"/>
        <color rgb="FF1B2A3A"/>
        <rFont val="Noto Sans CJK SC"/>
        <family val="2"/>
      </rPr>
      <t xml:space="preserve">护卫</t>
    </r>
  </si>
  <si>
    <t xml:space="preserve">见⑧</t>
  </si>
  <si>
    <r>
      <rPr>
        <sz val="10"/>
        <color rgb="FF1B2A3A"/>
        <rFont val="Noto Sans CJK SC"/>
        <family val="2"/>
      </rPr>
      <t xml:space="preserve">残骸带 </t>
    </r>
    <r>
      <rPr>
        <sz val="10"/>
        <color rgb="FF1B2A3A"/>
        <rFont val="Microsoft YaHei"/>
        <family val="0"/>
        <charset val="1"/>
      </rPr>
      <t xml:space="preserve">· </t>
    </r>
    <r>
      <rPr>
        <sz val="10"/>
        <color rgb="FF1B2A3A"/>
        <rFont val="Noto Sans CJK SC"/>
        <family val="2"/>
      </rPr>
      <t xml:space="preserve">详见 ⑧ </t>
    </r>
    <r>
      <rPr>
        <sz val="10"/>
        <color rgb="FF1B2A3A"/>
        <rFont val="Microsoft YaHei"/>
        <family val="0"/>
        <charset val="1"/>
      </rPr>
      <t xml:space="preserve">Boss </t>
    </r>
    <r>
      <rPr>
        <sz val="10"/>
        <color rgb="FF1B2A3A"/>
        <rFont val="Noto Sans CJK SC"/>
        <family val="2"/>
      </rPr>
      <t xml:space="preserve">配置</t>
    </r>
  </si>
  <si>
    <r>
      <rPr>
        <sz val="10"/>
        <color rgb="FF1B2A3A"/>
        <rFont val="Microsoft YaHei"/>
        <family val="0"/>
        <charset val="1"/>
      </rPr>
      <t xml:space="preserve">Boss</t>
    </r>
    <r>
      <rPr>
        <sz val="10"/>
        <color rgb="FF1B2A3A"/>
        <rFont val="Noto Sans CJK SC"/>
        <family val="2"/>
      </rPr>
      <t xml:space="preserve">波「铁卫」</t>
    </r>
  </si>
  <si>
    <r>
      <rPr>
        <sz val="10"/>
        <color rgb="FF1B2A3A"/>
        <rFont val="Microsoft YaHei"/>
        <family val="0"/>
        <charset val="1"/>
      </rPr>
      <t xml:space="preserve">1 Boss + 2 </t>
    </r>
    <r>
      <rPr>
        <sz val="10"/>
        <color rgb="FF1B2A3A"/>
        <rFont val="Noto Sans CJK SC"/>
        <family val="2"/>
      </rPr>
      <t xml:space="preserve">护卫</t>
    </r>
  </si>
  <si>
    <r>
      <rPr>
        <sz val="10"/>
        <color rgb="FF1B2A3A"/>
        <rFont val="Noto Sans CJK SC"/>
        <family val="2"/>
      </rPr>
      <t xml:space="preserve">机械矩阵 </t>
    </r>
    <r>
      <rPr>
        <sz val="10"/>
        <color rgb="FF1B2A3A"/>
        <rFont val="Microsoft YaHei"/>
        <family val="0"/>
        <charset val="1"/>
      </rPr>
      <t xml:space="preserve">· </t>
    </r>
    <r>
      <rPr>
        <sz val="10"/>
        <color rgb="FF1B2A3A"/>
        <rFont val="Noto Sans CJK SC"/>
        <family val="2"/>
      </rPr>
      <t xml:space="preserve">详见 ⑧ </t>
    </r>
    <r>
      <rPr>
        <sz val="10"/>
        <color rgb="FF1B2A3A"/>
        <rFont val="Microsoft YaHei"/>
        <family val="0"/>
        <charset val="1"/>
      </rPr>
      <t xml:space="preserve">Boss </t>
    </r>
    <r>
      <rPr>
        <sz val="10"/>
        <color rgb="FF1B2A3A"/>
        <rFont val="Noto Sans CJK SC"/>
        <family val="2"/>
      </rPr>
      <t xml:space="preserve">配置</t>
    </r>
  </si>
  <si>
    <r>
      <rPr>
        <sz val="10"/>
        <color rgb="FF1B2A3A"/>
        <rFont val="Microsoft YaHei"/>
        <family val="0"/>
        <charset val="1"/>
      </rPr>
      <t xml:space="preserve">Boss</t>
    </r>
    <r>
      <rPr>
        <sz val="10"/>
        <color rgb="FF1B2A3A"/>
        <rFont val="Noto Sans CJK SC"/>
        <family val="2"/>
      </rPr>
      <t xml:space="preserve">波「虫族女皇」</t>
    </r>
  </si>
  <si>
    <r>
      <rPr>
        <sz val="10"/>
        <color rgb="FF1B2A3A"/>
        <rFont val="Noto Sans CJK SC"/>
        <family val="2"/>
      </rPr>
      <t xml:space="preserve">虫巢星云 </t>
    </r>
    <r>
      <rPr>
        <sz val="10"/>
        <color rgb="FF1B2A3A"/>
        <rFont val="Microsoft YaHei"/>
        <family val="0"/>
        <charset val="1"/>
      </rPr>
      <t xml:space="preserve">· </t>
    </r>
    <r>
      <rPr>
        <sz val="10"/>
        <color rgb="FF1B2A3A"/>
        <rFont val="Noto Sans CJK SC"/>
        <family val="2"/>
      </rPr>
      <t xml:space="preserve">详见 ⑧ </t>
    </r>
    <r>
      <rPr>
        <sz val="10"/>
        <color rgb="FF1B2A3A"/>
        <rFont val="Microsoft YaHei"/>
        <family val="0"/>
        <charset val="1"/>
      </rPr>
      <t xml:space="preserve">Boss </t>
    </r>
    <r>
      <rPr>
        <sz val="10"/>
        <color rgb="FF1B2A3A"/>
        <rFont val="Noto Sans CJK SC"/>
        <family val="2"/>
      </rPr>
      <t xml:space="preserve">配置</t>
    </r>
  </si>
  <si>
    <r>
      <rPr>
        <sz val="10"/>
        <color rgb="FF1B2A3A"/>
        <rFont val="Microsoft YaHei"/>
        <family val="0"/>
        <charset val="1"/>
      </rPr>
      <t xml:space="preserve">Boss</t>
    </r>
    <r>
      <rPr>
        <sz val="10"/>
        <color rgb="FF1B2A3A"/>
        <rFont val="Noto Sans CJK SC"/>
        <family val="2"/>
      </rPr>
      <t xml:space="preserve">波「零号意志」</t>
    </r>
  </si>
  <si>
    <r>
      <rPr>
        <sz val="10"/>
        <color rgb="FF1B2A3A"/>
        <rFont val="Noto Sans CJK SC"/>
        <family val="2"/>
      </rPr>
      <t xml:space="preserve">深渊 </t>
    </r>
    <r>
      <rPr>
        <sz val="10"/>
        <color rgb="FF1B2A3A"/>
        <rFont val="Microsoft YaHei"/>
        <family val="0"/>
        <charset val="1"/>
      </rPr>
      <t xml:space="preserve">· </t>
    </r>
    <r>
      <rPr>
        <sz val="10"/>
        <color rgb="FF1B2A3A"/>
        <rFont val="Noto Sans CJK SC"/>
        <family val="2"/>
      </rPr>
      <t xml:space="preserve">详见 ⑧ </t>
    </r>
    <r>
      <rPr>
        <sz val="10"/>
        <color rgb="FF1B2A3A"/>
        <rFont val="Microsoft YaHei"/>
        <family val="0"/>
        <charset val="1"/>
      </rPr>
      <t xml:space="preserve">Boss </t>
    </r>
    <r>
      <rPr>
        <sz val="10"/>
        <color rgb="FF1B2A3A"/>
        <rFont val="Noto Sans CJK SC"/>
        <family val="2"/>
      </rPr>
      <t xml:space="preserve">配置</t>
    </r>
  </si>
  <si>
    <r>
      <rPr>
        <sz val="10"/>
        <color rgb="FF1B2A3A"/>
        <rFont val="Microsoft YaHei"/>
        <family val="0"/>
        <charset val="1"/>
      </rPr>
      <t xml:space="preserve">Boss</t>
    </r>
    <r>
      <rPr>
        <sz val="10"/>
        <color rgb="FF1B2A3A"/>
        <rFont val="Noto Sans CJK SC"/>
        <family val="2"/>
      </rPr>
      <t xml:space="preserve">波「万王之王」</t>
    </r>
  </si>
  <si>
    <r>
      <rPr>
        <sz val="10"/>
        <color rgb="FF1B2A3A"/>
        <rFont val="Noto Sans CJK SC"/>
        <family val="2"/>
      </rPr>
      <t xml:space="preserve">帝国终末 </t>
    </r>
    <r>
      <rPr>
        <sz val="10"/>
        <color rgb="FF1B2A3A"/>
        <rFont val="Microsoft YaHei"/>
        <family val="0"/>
        <charset val="1"/>
      </rPr>
      <t xml:space="preserve">· </t>
    </r>
    <r>
      <rPr>
        <sz val="10"/>
        <color rgb="FF1B2A3A"/>
        <rFont val="Noto Sans CJK SC"/>
        <family val="2"/>
      </rPr>
      <t xml:space="preserve">详见 ⑧ </t>
    </r>
    <r>
      <rPr>
        <sz val="10"/>
        <color rgb="FF1B2A3A"/>
        <rFont val="Microsoft YaHei"/>
        <family val="0"/>
        <charset val="1"/>
      </rPr>
      <t xml:space="preserve">Boss </t>
    </r>
    <r>
      <rPr>
        <sz val="10"/>
        <color rgb="FF1B2A3A"/>
        <rFont val="Noto Sans CJK SC"/>
        <family val="2"/>
      </rPr>
      <t xml:space="preserve">配置</t>
    </r>
  </si>
  <si>
    <r>
      <rPr>
        <b val="true"/>
        <sz val="14"/>
        <color rgb="FF00B8D4"/>
        <rFont val="Microsoft YaHei"/>
        <family val="0"/>
        <charset val="1"/>
      </rPr>
      <t xml:space="preserve">Boss </t>
    </r>
    <r>
      <rPr>
        <b val="true"/>
        <sz val="14"/>
        <color rgb="FF00B8D4"/>
        <rFont val="Noto Sans CJK SC"/>
        <family val="2"/>
      </rPr>
      <t xml:space="preserve">配置 </t>
    </r>
    <r>
      <rPr>
        <b val="true"/>
        <sz val="14"/>
        <color rgb="FF00B8D4"/>
        <rFont val="Microsoft YaHei"/>
        <family val="0"/>
        <charset val="1"/>
      </rPr>
      <t xml:space="preserve">· 5 </t>
    </r>
    <r>
      <rPr>
        <b val="true"/>
        <sz val="14"/>
        <color rgb="FF00B8D4"/>
        <rFont val="Noto Sans CJK SC"/>
        <family val="2"/>
      </rPr>
      <t xml:space="preserve">星区 ✅（</t>
    </r>
    <r>
      <rPr>
        <b val="true"/>
        <sz val="14"/>
        <color rgb="FF00B8D4"/>
        <rFont val="Microsoft YaHei"/>
        <family val="0"/>
        <charset val="1"/>
      </rPr>
      <t xml:space="preserve">HP/</t>
    </r>
    <r>
      <rPr>
        <b val="true"/>
        <sz val="14"/>
        <color rgb="FF00B8D4"/>
        <rFont val="Noto Sans CJK SC"/>
        <family val="2"/>
      </rPr>
      <t xml:space="preserve">攻击公式）</t>
    </r>
  </si>
  <si>
    <r>
      <rPr>
        <sz val="9"/>
        <color rgb="FF6F7E92"/>
        <rFont val="Noto Sans CJK SC"/>
        <family val="2"/>
      </rPr>
      <t xml:space="preserve">单体强力单位（</t>
    </r>
    <r>
      <rPr>
        <sz val="9"/>
        <color rgb="FF6F7E92"/>
        <rFont val="Microsoft YaHei"/>
        <family val="0"/>
        <charset val="1"/>
      </rPr>
      <t xml:space="preserve">fleet.genEnemies </t>
    </r>
    <r>
      <rPr>
        <sz val="9"/>
        <color rgb="FF6F7E92"/>
        <rFont val="Noto Sans CJK SC"/>
        <family val="2"/>
      </rPr>
      <t xml:space="preserve">的 </t>
    </r>
    <r>
      <rPr>
        <sz val="9"/>
        <color rgb="FF6F7E92"/>
        <rFont val="Microsoft YaHei"/>
        <family val="0"/>
        <charset val="1"/>
      </rPr>
      <t xml:space="preserve">isBoss</t>
    </r>
    <r>
      <rPr>
        <sz val="9"/>
        <color rgb="FF6F7E92"/>
        <rFont val="Noto Sans CJK SC"/>
        <family val="2"/>
      </rPr>
      <t xml:space="preserve">）。多阶段</t>
    </r>
    <r>
      <rPr>
        <sz val="9"/>
        <color rgb="FF6F7E92"/>
        <rFont val="Microsoft YaHei"/>
        <family val="0"/>
        <charset val="1"/>
      </rPr>
      <t xml:space="preserve">/</t>
    </r>
    <r>
      <rPr>
        <sz val="9"/>
        <color rgb="FF6F7E92"/>
        <rFont val="Noto Sans CJK SC"/>
        <family val="2"/>
      </rPr>
      <t xml:space="preserve">机制为 🔮 设计预留，当前为单形态。系数可调。</t>
    </r>
  </si>
  <si>
    <r>
      <rPr>
        <sz val="10"/>
        <color rgb="FF1B2A3A"/>
        <rFont val="Microsoft YaHei"/>
        <family val="0"/>
        <charset val="1"/>
      </rPr>
      <t xml:space="preserve">Boss·</t>
    </r>
    <r>
      <rPr>
        <sz val="10"/>
        <color rgb="FF1B2A3A"/>
        <rFont val="Noto Sans CJK SC"/>
        <family val="2"/>
      </rPr>
      <t xml:space="preserve">基础</t>
    </r>
    <r>
      <rPr>
        <sz val="10"/>
        <color rgb="FF1B2A3A"/>
        <rFont val="Microsoft YaHei"/>
        <family val="0"/>
        <charset val="1"/>
      </rPr>
      <t xml:space="preserve">HP</t>
    </r>
  </si>
  <si>
    <r>
      <rPr>
        <sz val="10"/>
        <color rgb="FF1B2A3A"/>
        <rFont val="Microsoft YaHei"/>
        <family val="0"/>
        <charset val="1"/>
      </rPr>
      <t xml:space="preserve">Boss·HP</t>
    </r>
    <r>
      <rPr>
        <sz val="10"/>
        <color rgb="FF1B2A3A"/>
        <rFont val="Noto Sans CJK SC"/>
        <family val="2"/>
      </rPr>
      <t xml:space="preserve">星区成长</t>
    </r>
  </si>
  <si>
    <r>
      <rPr>
        <sz val="10"/>
        <color rgb="FF1B2A3A"/>
        <rFont val="Microsoft YaHei"/>
        <family val="0"/>
        <charset val="1"/>
      </rPr>
      <t xml:space="preserve">Boss·</t>
    </r>
    <r>
      <rPr>
        <sz val="10"/>
        <color rgb="FF1B2A3A"/>
        <rFont val="Noto Sans CJK SC"/>
        <family val="2"/>
      </rPr>
      <t xml:space="preserve">基础攻击</t>
    </r>
  </si>
  <si>
    <r>
      <rPr>
        <sz val="10"/>
        <color rgb="FF1B2A3A"/>
        <rFont val="Microsoft YaHei"/>
        <family val="0"/>
        <charset val="1"/>
      </rPr>
      <t xml:space="preserve">Boss·</t>
    </r>
    <r>
      <rPr>
        <sz val="10"/>
        <color rgb="FF1B2A3A"/>
        <rFont val="Noto Sans CJK SC"/>
        <family val="2"/>
      </rPr>
      <t xml:space="preserve">攻击星区成长</t>
    </r>
  </si>
  <si>
    <r>
      <rPr>
        <sz val="10"/>
        <color rgb="FF1B2A3A"/>
        <rFont val="Noto Sans CJK SC"/>
        <family val="2"/>
      </rPr>
      <t xml:space="preserve">护卫</t>
    </r>
    <r>
      <rPr>
        <sz val="10"/>
        <color rgb="FF1B2A3A"/>
        <rFont val="Microsoft YaHei"/>
        <family val="0"/>
        <charset val="1"/>
      </rPr>
      <t xml:space="preserve">·</t>
    </r>
    <r>
      <rPr>
        <sz val="10"/>
        <color rgb="FF1B2A3A"/>
        <rFont val="Noto Sans CJK SC"/>
        <family val="2"/>
      </rPr>
      <t xml:space="preserve">基础</t>
    </r>
    <r>
      <rPr>
        <sz val="10"/>
        <color rgb="FF1B2A3A"/>
        <rFont val="Microsoft YaHei"/>
        <family val="0"/>
        <charset val="1"/>
      </rPr>
      <t xml:space="preserve">HP</t>
    </r>
  </si>
  <si>
    <r>
      <rPr>
        <sz val="10"/>
        <color rgb="FF1B2A3A"/>
        <rFont val="Noto Sans CJK SC"/>
        <family val="2"/>
      </rPr>
      <t xml:space="preserve">护卫</t>
    </r>
    <r>
      <rPr>
        <sz val="10"/>
        <color rgb="FF1B2A3A"/>
        <rFont val="Microsoft YaHei"/>
        <family val="0"/>
        <charset val="1"/>
      </rPr>
      <t xml:space="preserve">·HP</t>
    </r>
    <r>
      <rPr>
        <sz val="10"/>
        <color rgb="FF1B2A3A"/>
        <rFont val="Noto Sans CJK SC"/>
        <family val="2"/>
      </rPr>
      <t xml:space="preserve">星区成长</t>
    </r>
  </si>
  <si>
    <r>
      <rPr>
        <b val="true"/>
        <sz val="11"/>
        <color rgb="FFFFFFFF"/>
        <rFont val="Microsoft YaHei"/>
        <family val="0"/>
        <charset val="1"/>
      </rPr>
      <t xml:space="preserve">Boss </t>
    </r>
    <r>
      <rPr>
        <b val="true"/>
        <sz val="11"/>
        <color rgb="FFFFFFFF"/>
        <rFont val="Noto Sans CJK SC"/>
        <family val="2"/>
      </rPr>
      <t xml:space="preserve">名</t>
    </r>
  </si>
  <si>
    <t xml:space="preserve">HP</t>
  </si>
  <si>
    <t xml:space="preserve">攻击</t>
  </si>
  <si>
    <t xml:space="preserve">护卫数</t>
  </si>
  <si>
    <r>
      <rPr>
        <b val="true"/>
        <sz val="11"/>
        <color rgb="FFFFFFFF"/>
        <rFont val="Noto Sans CJK SC"/>
        <family val="2"/>
      </rPr>
      <t xml:space="preserve">护卫</t>
    </r>
    <r>
      <rPr>
        <b val="true"/>
        <sz val="11"/>
        <color rgb="FFFFFFFF"/>
        <rFont val="Microsoft YaHei"/>
        <family val="0"/>
        <charset val="1"/>
      </rPr>
      <t xml:space="preserve">HP</t>
    </r>
  </si>
  <si>
    <t xml:space="preserve">机制（规划）</t>
  </si>
  <si>
    <r>
      <rPr>
        <b val="true"/>
        <sz val="10"/>
        <color rgb="FF1B2A3A"/>
        <rFont val="Noto Sans CJK SC"/>
        <family val="2"/>
      </rPr>
      <t xml:space="preserve">海盗母舰</t>
    </r>
    <r>
      <rPr>
        <b val="true"/>
        <sz val="10"/>
        <color rgb="FF1B2A3A"/>
        <rFont val="Microsoft YaHei"/>
        <family val="0"/>
        <charset val="1"/>
      </rPr>
      <t xml:space="preserve">·</t>
    </r>
    <r>
      <rPr>
        <b val="true"/>
        <sz val="10"/>
        <color rgb="FF1B2A3A"/>
        <rFont val="Noto Sans CJK SC"/>
        <family val="2"/>
      </rPr>
      <t xml:space="preserve">秃鹫号</t>
    </r>
  </si>
  <si>
    <r>
      <rPr>
        <b val="true"/>
        <sz val="10"/>
        <color rgb="FFC0862B"/>
        <rFont val="Noto Sans CJK SC"/>
        <family val="2"/>
      </rPr>
      <t xml:space="preserve">🔮 多阶段</t>
    </r>
    <r>
      <rPr>
        <b val="true"/>
        <sz val="10"/>
        <color rgb="FFC0862B"/>
        <rFont val="Microsoft YaHei"/>
        <family val="0"/>
        <charset val="1"/>
      </rPr>
      <t xml:space="preserve">/</t>
    </r>
    <r>
      <rPr>
        <b val="true"/>
        <sz val="10"/>
        <color rgb="FFC0862B"/>
        <rFont val="Noto Sans CJK SC"/>
        <family val="2"/>
      </rPr>
      <t xml:space="preserve">召唤</t>
    </r>
    <r>
      <rPr>
        <b val="true"/>
        <sz val="10"/>
        <color rgb="FFC0862B"/>
        <rFont val="Microsoft YaHei"/>
        <family val="0"/>
        <charset val="1"/>
      </rPr>
      <t xml:space="preserve">/AOE </t>
    </r>
    <r>
      <rPr>
        <b val="true"/>
        <sz val="10"/>
        <color rgb="FFC0862B"/>
        <rFont val="Noto Sans CJK SC"/>
        <family val="2"/>
      </rPr>
      <t xml:space="preserve">设计预留</t>
    </r>
  </si>
  <si>
    <r>
      <rPr>
        <b val="true"/>
        <sz val="10"/>
        <color rgb="FF1B2A3A"/>
        <rFont val="Noto Sans CJK SC"/>
        <family val="2"/>
      </rPr>
      <t xml:space="preserve">机械泰坦</t>
    </r>
    <r>
      <rPr>
        <b val="true"/>
        <sz val="10"/>
        <color rgb="FF1B2A3A"/>
        <rFont val="Microsoft YaHei"/>
        <family val="0"/>
        <charset val="1"/>
      </rPr>
      <t xml:space="preserve">·</t>
    </r>
    <r>
      <rPr>
        <b val="true"/>
        <sz val="10"/>
        <color rgb="FF1B2A3A"/>
        <rFont val="Noto Sans CJK SC"/>
        <family val="2"/>
      </rPr>
      <t xml:space="preserve">铁卫</t>
    </r>
  </si>
  <si>
    <t xml:space="preserve">虫族女皇</t>
  </si>
  <si>
    <r>
      <rPr>
        <b val="true"/>
        <sz val="10"/>
        <color rgb="FF1B2A3A"/>
        <rFont val="Noto Sans CJK SC"/>
        <family val="2"/>
      </rPr>
      <t xml:space="preserve">叛变</t>
    </r>
    <r>
      <rPr>
        <b val="true"/>
        <sz val="10"/>
        <color rgb="FF1B2A3A"/>
        <rFont val="Microsoft YaHei"/>
        <family val="0"/>
        <charset val="1"/>
      </rPr>
      <t xml:space="preserve">AI·</t>
    </r>
    <r>
      <rPr>
        <b val="true"/>
        <sz val="10"/>
        <color rgb="FF1B2A3A"/>
        <rFont val="Noto Sans CJK SC"/>
        <family val="2"/>
      </rPr>
      <t xml:space="preserve">零号意志</t>
    </r>
  </si>
  <si>
    <r>
      <rPr>
        <b val="true"/>
        <sz val="10"/>
        <color rgb="FF1B2A3A"/>
        <rFont val="Noto Sans CJK SC"/>
        <family val="2"/>
      </rPr>
      <t xml:space="preserve">歼星舰</t>
    </r>
    <r>
      <rPr>
        <b val="true"/>
        <sz val="10"/>
        <color rgb="FF1B2A3A"/>
        <rFont val="Microsoft YaHei"/>
        <family val="0"/>
        <charset val="1"/>
      </rPr>
      <t xml:space="preserve">·</t>
    </r>
    <r>
      <rPr>
        <b val="true"/>
        <sz val="10"/>
        <color rgb="FF1B2A3A"/>
        <rFont val="Noto Sans CJK SC"/>
        <family val="2"/>
      </rPr>
      <t xml:space="preserve">万王之王</t>
    </r>
  </si>
  <si>
    <r>
      <rPr>
        <b val="true"/>
        <sz val="14"/>
        <color rgb="FF00B8D4"/>
        <rFont val="Noto Sans CJK SC"/>
        <family val="2"/>
      </rPr>
      <t xml:space="preserve">经济 </t>
    </r>
    <r>
      <rPr>
        <b val="true"/>
        <sz val="14"/>
        <color rgb="FF00B8D4"/>
        <rFont val="Microsoft YaHei"/>
        <family val="0"/>
        <charset val="1"/>
      </rPr>
      <t xml:space="preserve">· </t>
    </r>
    <r>
      <rPr>
        <b val="true"/>
        <sz val="14"/>
        <color rgb="FF00B8D4"/>
        <rFont val="Noto Sans CJK SC"/>
        <family val="2"/>
      </rPr>
      <t xml:space="preserve">金币奖励与消费 ✅</t>
    </r>
  </si>
  <si>
    <r>
      <rPr>
        <sz val="9"/>
        <color rgb="FF6F7E92"/>
        <rFont val="Microsoft YaHei"/>
        <family val="0"/>
        <charset val="1"/>
      </rPr>
      <t xml:space="preserve">battle.ts / economy.ts</t>
    </r>
    <r>
      <rPr>
        <sz val="9"/>
        <color rgb="FF6F7E92"/>
        <rFont val="Noto Sans CJK SC"/>
        <family val="2"/>
      </rPr>
      <t xml:space="preserve">。⚠ 当前无连胜</t>
    </r>
    <r>
      <rPr>
        <sz val="9"/>
        <color rgb="FF6F7E92"/>
        <rFont val="Microsoft YaHei"/>
        <family val="0"/>
        <charset val="1"/>
      </rPr>
      <t xml:space="preserve">/</t>
    </r>
    <r>
      <rPr>
        <sz val="9"/>
        <color rgb="FF6F7E92"/>
        <rFont val="Noto Sans CJK SC"/>
        <family val="2"/>
      </rPr>
      <t xml:space="preserve">连败系统、无道具。</t>
    </r>
    <r>
      <rPr>
        <sz val="9"/>
        <color rgb="FF6F7E92"/>
        <rFont val="Microsoft YaHei"/>
        <family val="0"/>
        <charset val="1"/>
      </rPr>
      <t xml:space="preserve">lv=</t>
    </r>
    <r>
      <rPr>
        <sz val="9"/>
        <color rgb="FF6F7E92"/>
        <rFont val="Noto Sans CJK SC"/>
        <family val="2"/>
      </rPr>
      <t xml:space="preserve">星区</t>
    </r>
    <r>
      <rPr>
        <sz val="9"/>
        <color rgb="FF6F7E92"/>
        <rFont val="Microsoft YaHei"/>
        <family val="0"/>
        <charset val="1"/>
      </rPr>
      <t xml:space="preserve">-1</t>
    </r>
    <r>
      <rPr>
        <sz val="9"/>
        <color rgb="FF6F7E92"/>
        <rFont val="Noto Sans CJK SC"/>
        <family val="2"/>
      </rPr>
      <t xml:space="preserve">。</t>
    </r>
  </si>
  <si>
    <r>
      <rPr>
        <sz val="10"/>
        <color rgb="FF1B2A3A"/>
        <rFont val="Noto Sans CJK SC"/>
        <family val="2"/>
      </rPr>
      <t xml:space="preserve">普通波</t>
    </r>
    <r>
      <rPr>
        <sz val="10"/>
        <color rgb="FF1B2A3A"/>
        <rFont val="Microsoft YaHei"/>
        <family val="0"/>
        <charset val="1"/>
      </rPr>
      <t xml:space="preserve">·</t>
    </r>
    <r>
      <rPr>
        <sz val="10"/>
        <color rgb="FF1B2A3A"/>
        <rFont val="Noto Sans CJK SC"/>
        <family val="2"/>
      </rPr>
      <t xml:space="preserve">基础金币</t>
    </r>
  </si>
  <si>
    <r>
      <rPr>
        <sz val="10"/>
        <color rgb="FF1B2A3A"/>
        <rFont val="Noto Sans CJK SC"/>
        <family val="2"/>
      </rPr>
      <t xml:space="preserve">普通波</t>
    </r>
    <r>
      <rPr>
        <sz val="10"/>
        <color rgb="FF1B2A3A"/>
        <rFont val="Microsoft YaHei"/>
        <family val="0"/>
        <charset val="1"/>
      </rPr>
      <t xml:space="preserve">·</t>
    </r>
    <r>
      <rPr>
        <sz val="10"/>
        <color rgb="FF1B2A3A"/>
        <rFont val="Noto Sans CJK SC"/>
        <family val="2"/>
      </rPr>
      <t xml:space="preserve">星区加成</t>
    </r>
    <r>
      <rPr>
        <sz val="10"/>
        <color rgb="FF1B2A3A"/>
        <rFont val="Microsoft YaHei"/>
        <family val="0"/>
        <charset val="1"/>
      </rPr>
      <t xml:space="preserve">/</t>
    </r>
    <r>
      <rPr>
        <sz val="10"/>
        <color rgb="FF1B2A3A"/>
        <rFont val="Noto Sans CJK SC"/>
        <family val="2"/>
      </rPr>
      <t xml:space="preserve">级</t>
    </r>
  </si>
  <si>
    <r>
      <rPr>
        <sz val="10"/>
        <color rgb="FF1B2A3A"/>
        <rFont val="Microsoft YaHei"/>
        <family val="0"/>
        <charset val="1"/>
      </rPr>
      <t xml:space="preserve">Boss</t>
    </r>
    <r>
      <rPr>
        <sz val="10"/>
        <color rgb="FF1B2A3A"/>
        <rFont val="Noto Sans CJK SC"/>
        <family val="2"/>
      </rPr>
      <t xml:space="preserve">波</t>
    </r>
    <r>
      <rPr>
        <sz val="10"/>
        <color rgb="FF1B2A3A"/>
        <rFont val="Microsoft YaHei"/>
        <family val="0"/>
        <charset val="1"/>
      </rPr>
      <t xml:space="preserve">·</t>
    </r>
    <r>
      <rPr>
        <sz val="10"/>
        <color rgb="FF1B2A3A"/>
        <rFont val="Noto Sans CJK SC"/>
        <family val="2"/>
      </rPr>
      <t xml:space="preserve">基础金币</t>
    </r>
  </si>
  <si>
    <r>
      <rPr>
        <sz val="10"/>
        <color rgb="FF1B2A3A"/>
        <rFont val="Microsoft YaHei"/>
        <family val="0"/>
        <charset val="1"/>
      </rPr>
      <t xml:space="preserve">Boss</t>
    </r>
    <r>
      <rPr>
        <sz val="10"/>
        <color rgb="FF1B2A3A"/>
        <rFont val="Noto Sans CJK SC"/>
        <family val="2"/>
      </rPr>
      <t xml:space="preserve">波</t>
    </r>
    <r>
      <rPr>
        <sz val="10"/>
        <color rgb="FF1B2A3A"/>
        <rFont val="Microsoft YaHei"/>
        <family val="0"/>
        <charset val="1"/>
      </rPr>
      <t xml:space="preserve">·</t>
    </r>
    <r>
      <rPr>
        <sz val="10"/>
        <color rgb="FF1B2A3A"/>
        <rFont val="Noto Sans CJK SC"/>
        <family val="2"/>
      </rPr>
      <t xml:space="preserve">星区加成</t>
    </r>
    <r>
      <rPr>
        <sz val="10"/>
        <color rgb="FF1B2A3A"/>
        <rFont val="Microsoft YaHei"/>
        <family val="0"/>
        <charset val="1"/>
      </rPr>
      <t xml:space="preserve">/</t>
    </r>
    <r>
      <rPr>
        <sz val="10"/>
        <color rgb="FF1B2A3A"/>
        <rFont val="Noto Sans CJK SC"/>
        <family val="2"/>
      </rPr>
      <t xml:space="preserve">级</t>
    </r>
  </si>
  <si>
    <t xml:space="preserve">项目</t>
  </si>
  <si>
    <t xml:space="preserve">金币</t>
  </si>
  <si>
    <t xml:space="preserve">类别</t>
  </si>
  <si>
    <t xml:space="preserve">说明</t>
  </si>
  <si>
    <r>
      <rPr>
        <b val="true"/>
        <sz val="10"/>
        <color rgb="FF1B2A3A"/>
        <rFont val="Noto Sans CJK SC"/>
        <family val="2"/>
      </rPr>
      <t xml:space="preserve">普通波胜利（星区</t>
    </r>
    <r>
      <rPr>
        <b val="true"/>
        <sz val="10"/>
        <color rgb="FF1B2A3A"/>
        <rFont val="Microsoft YaHei"/>
        <family val="0"/>
        <charset val="1"/>
      </rPr>
      <t xml:space="preserve">1→5</t>
    </r>
    <r>
      <rPr>
        <b val="true"/>
        <sz val="10"/>
        <color rgb="FF1B2A3A"/>
        <rFont val="Noto Sans CJK SC"/>
        <family val="2"/>
      </rPr>
      <t xml:space="preserve">）</t>
    </r>
  </si>
  <si>
    <t xml:space="preserve">产出</t>
  </si>
  <si>
    <r>
      <rPr>
        <sz val="10"/>
        <color rgb="FF1B2A3A"/>
        <rFont val="Noto Sans CJK SC"/>
        <family val="2"/>
      </rPr>
      <t xml:space="preserve">公式 </t>
    </r>
    <r>
      <rPr>
        <sz val="10"/>
        <color rgb="FF1B2A3A"/>
        <rFont val="Microsoft YaHei"/>
        <family val="0"/>
        <charset val="1"/>
      </rPr>
      <t xml:space="preserve">10 + 2×(</t>
    </r>
    <r>
      <rPr>
        <sz val="10"/>
        <color rgb="FF1B2A3A"/>
        <rFont val="Noto Sans CJK SC"/>
        <family val="2"/>
      </rPr>
      <t xml:space="preserve">星区</t>
    </r>
    <r>
      <rPr>
        <sz val="10"/>
        <color rgb="FF1B2A3A"/>
        <rFont val="Microsoft YaHei"/>
        <family val="0"/>
        <charset val="1"/>
      </rPr>
      <t xml:space="preserve">-1) = 10/12/14/16/18</t>
    </r>
  </si>
  <si>
    <r>
      <rPr>
        <b val="true"/>
        <sz val="10"/>
        <color rgb="FF1B2A3A"/>
        <rFont val="Microsoft YaHei"/>
        <family val="0"/>
        <charset val="1"/>
      </rPr>
      <t xml:space="preserve">Boss</t>
    </r>
    <r>
      <rPr>
        <b val="true"/>
        <sz val="10"/>
        <color rgb="FF1B2A3A"/>
        <rFont val="Noto Sans CJK SC"/>
        <family val="2"/>
      </rPr>
      <t xml:space="preserve">波胜利（星区</t>
    </r>
    <r>
      <rPr>
        <b val="true"/>
        <sz val="10"/>
        <color rgb="FF1B2A3A"/>
        <rFont val="Microsoft YaHei"/>
        <family val="0"/>
        <charset val="1"/>
      </rPr>
      <t xml:space="preserve">1→5</t>
    </r>
    <r>
      <rPr>
        <b val="true"/>
        <sz val="10"/>
        <color rgb="FF1B2A3A"/>
        <rFont val="Noto Sans CJK SC"/>
        <family val="2"/>
      </rPr>
      <t xml:space="preserve">）</t>
    </r>
  </si>
  <si>
    <r>
      <rPr>
        <sz val="10"/>
        <color rgb="FF1B2A3A"/>
        <rFont val="Noto Sans CJK SC"/>
        <family val="2"/>
      </rPr>
      <t xml:space="preserve">公式 </t>
    </r>
    <r>
      <rPr>
        <sz val="10"/>
        <color rgb="FF1B2A3A"/>
        <rFont val="Microsoft YaHei"/>
        <family val="0"/>
        <charset val="1"/>
      </rPr>
      <t xml:space="preserve">30 + 5×(</t>
    </r>
    <r>
      <rPr>
        <sz val="10"/>
        <color rgb="FF1B2A3A"/>
        <rFont val="Noto Sans CJK SC"/>
        <family val="2"/>
      </rPr>
      <t xml:space="preserve">星区</t>
    </r>
    <r>
      <rPr>
        <sz val="10"/>
        <color rgb="FF1B2A3A"/>
        <rFont val="Microsoft YaHei"/>
        <family val="0"/>
        <charset val="1"/>
      </rPr>
      <t xml:space="preserve">-1) = 30/35/40/45/50</t>
    </r>
  </si>
  <si>
    <r>
      <rPr>
        <b val="true"/>
        <sz val="10"/>
        <color rgb="FF1B2A3A"/>
        <rFont val="Noto Sans CJK SC"/>
        <family val="2"/>
      </rPr>
      <t xml:space="preserve">广告</t>
    </r>
    <r>
      <rPr>
        <b val="true"/>
        <sz val="10"/>
        <color rgb="FF1B2A3A"/>
        <rFont val="Microsoft YaHei"/>
        <family val="0"/>
        <charset val="1"/>
      </rPr>
      <t xml:space="preserve">·</t>
    </r>
    <r>
      <rPr>
        <b val="true"/>
        <sz val="10"/>
        <color rgb="FF1B2A3A"/>
        <rFont val="Noto Sans CJK SC"/>
        <family val="2"/>
      </rPr>
      <t xml:space="preserve">金币双倍</t>
    </r>
  </si>
  <si>
    <r>
      <rPr>
        <sz val="10"/>
        <color rgb="FF1B2A3A"/>
        <rFont val="Noto Sans CJK SC"/>
        <family val="2"/>
      </rPr>
      <t xml:space="preserve">本波</t>
    </r>
    <r>
      <rPr>
        <sz val="10"/>
        <color rgb="FF1B2A3A"/>
        <rFont val="Microsoft YaHei"/>
        <family val="0"/>
        <charset val="1"/>
      </rPr>
      <t xml:space="preserve">×2</t>
    </r>
  </si>
  <si>
    <t xml:space="preserve">增益</t>
  </si>
  <si>
    <t xml:space="preserve">胜利结算看激励视频，本波金币翻倍</t>
  </si>
  <si>
    <r>
      <rPr>
        <b val="true"/>
        <sz val="10"/>
        <color rgb="FF1B2A3A"/>
        <rFont val="Noto Sans CJK SC"/>
        <family val="2"/>
      </rPr>
      <t xml:space="preserve">消费</t>
    </r>
    <r>
      <rPr>
        <b val="true"/>
        <sz val="10"/>
        <color rgb="FF1B2A3A"/>
        <rFont val="Microsoft YaHei"/>
        <family val="0"/>
        <charset val="1"/>
      </rPr>
      <t xml:space="preserve">·</t>
    </r>
    <r>
      <rPr>
        <b val="true"/>
        <sz val="10"/>
        <color rgb="FF1B2A3A"/>
        <rFont val="Noto Sans CJK SC"/>
        <family val="2"/>
      </rPr>
      <t xml:space="preserve">刷新队列</t>
    </r>
  </si>
  <si>
    <t xml:space="preserve">消费</t>
  </si>
  <si>
    <r>
      <rPr>
        <sz val="10"/>
        <color rgb="FF1B2A3A"/>
        <rFont val="Noto Sans CJK SC"/>
        <family val="2"/>
      </rPr>
      <t xml:space="preserve">换当前</t>
    </r>
    <r>
      <rPr>
        <sz val="10"/>
        <color rgb="FF1B2A3A"/>
        <rFont val="Microsoft YaHei"/>
        <family val="0"/>
        <charset val="1"/>
      </rPr>
      <t xml:space="preserve">+</t>
    </r>
    <r>
      <rPr>
        <sz val="10"/>
        <color rgb="FF1B2A3A"/>
        <rFont val="Noto Sans CJK SC"/>
        <family val="2"/>
      </rPr>
      <t xml:space="preserve">下一个投放件（</t>
    </r>
    <r>
      <rPr>
        <sz val="10"/>
        <color rgb="FF1B2A3A"/>
        <rFont val="Microsoft YaHei"/>
        <family val="0"/>
        <charset val="1"/>
      </rPr>
      <t xml:space="preserve">REFRESH_COST</t>
    </r>
    <r>
      <rPr>
        <sz val="10"/>
        <color rgb="FF1B2A3A"/>
        <rFont val="Noto Sans CJK SC"/>
        <family val="2"/>
      </rPr>
      <t xml:space="preserve">）</t>
    </r>
  </si>
  <si>
    <r>
      <rPr>
        <b val="true"/>
        <sz val="10"/>
        <color rgb="FF1B2A3A"/>
        <rFont val="Noto Sans CJK SC"/>
        <family val="2"/>
      </rPr>
      <t xml:space="preserve">消费</t>
    </r>
    <r>
      <rPr>
        <b val="true"/>
        <sz val="10"/>
        <color rgb="FF1B2A3A"/>
        <rFont val="Microsoft YaHei"/>
        <family val="0"/>
        <charset val="1"/>
      </rPr>
      <t xml:space="preserve">·</t>
    </r>
    <r>
      <rPr>
        <b val="true"/>
        <sz val="10"/>
        <color rgb="FF1B2A3A"/>
        <rFont val="Noto Sans CJK SC"/>
        <family val="2"/>
      </rPr>
      <t xml:space="preserve">招募援军</t>
    </r>
  </si>
  <si>
    <r>
      <rPr>
        <sz val="10"/>
        <color rgb="FF1B2A3A"/>
        <rFont val="Noto Sans CJK SC"/>
        <family val="2"/>
      </rPr>
      <t xml:space="preserve">空投一艘可上阵战舰，或看广告免费（</t>
    </r>
    <r>
      <rPr>
        <sz val="10"/>
        <color rgb="FF1B2A3A"/>
        <rFont val="Microsoft YaHei"/>
        <family val="0"/>
        <charset val="1"/>
      </rPr>
      <t xml:space="preserve">RECRUIT_COST</t>
    </r>
    <r>
      <rPr>
        <sz val="10"/>
        <color rgb="FF1B2A3A"/>
        <rFont val="Noto Sans CJK SC"/>
        <family val="2"/>
      </rPr>
      <t xml:space="preserve">）</t>
    </r>
  </si>
  <si>
    <r>
      <rPr>
        <b val="true"/>
        <sz val="14"/>
        <color rgb="FF00B8D4"/>
        <rFont val="Noto Sans CJK SC"/>
        <family val="2"/>
      </rPr>
      <t xml:space="preserve">广告点位（</t>
    </r>
    <r>
      <rPr>
        <b val="true"/>
        <sz val="14"/>
        <color rgb="FF00B8D4"/>
        <rFont val="Microsoft YaHei"/>
        <family val="0"/>
        <charset val="1"/>
      </rPr>
      <t xml:space="preserve">IAA </t>
    </r>
    <r>
      <rPr>
        <b val="true"/>
        <sz val="14"/>
        <color rgb="FF00B8D4"/>
        <rFont val="Noto Sans CJK SC"/>
        <family val="2"/>
      </rPr>
      <t xml:space="preserve">激励视频）</t>
    </r>
  </si>
  <si>
    <r>
      <rPr>
        <sz val="9"/>
        <color rgb="FF6F7E92"/>
        <rFont val="Noto Sans CJK SC"/>
        <family val="2"/>
      </rPr>
      <t xml:space="preserve">已接入 </t>
    </r>
    <r>
      <rPr>
        <sz val="9"/>
        <color rgb="FF6F7E92"/>
        <rFont val="Microsoft YaHei"/>
        <family val="0"/>
        <charset val="1"/>
      </rPr>
      <t xml:space="preserve">3 </t>
    </r>
    <r>
      <rPr>
        <sz val="9"/>
        <color rgb="FF6F7E92"/>
        <rFont val="Noto Sans CJK SC"/>
        <family val="2"/>
      </rPr>
      <t xml:space="preserve">个 ✅（原型 </t>
    </r>
    <r>
      <rPr>
        <sz val="9"/>
        <color rgb="FF6F7E92"/>
        <rFont val="Microsoft YaHei"/>
        <family val="0"/>
        <charset val="1"/>
      </rPr>
      <t xml:space="preserve">3 </t>
    </r>
    <r>
      <rPr>
        <sz val="9"/>
        <color rgb="FF6F7E92"/>
        <rFont val="Noto Sans CJK SC"/>
        <family val="2"/>
      </rPr>
      <t xml:space="preserve">秒模拟，</t>
    </r>
    <r>
      <rPr>
        <sz val="9"/>
        <color rgb="FF6F7E92"/>
        <rFont val="Microsoft YaHei"/>
        <family val="0"/>
        <charset val="1"/>
      </rPr>
      <t xml:space="preserve">platform.ts </t>
    </r>
    <r>
      <rPr>
        <sz val="9"/>
        <color rgb="FF6F7E92"/>
        <rFont val="Noto Sans CJK SC"/>
        <family val="2"/>
      </rPr>
      <t xml:space="preserve">真机换 </t>
    </r>
    <r>
      <rPr>
        <sz val="9"/>
        <color rgb="FF6F7E92"/>
        <rFont val="Microsoft YaHei"/>
        <family val="0"/>
        <charset val="1"/>
      </rPr>
      <t xml:space="preserve">tt.createRewardedVideoAd</t>
    </r>
    <r>
      <rPr>
        <sz val="9"/>
        <color rgb="FF6F7E92"/>
        <rFont val="Noto Sans CJK SC"/>
        <family val="2"/>
      </rPr>
      <t xml:space="preserve">）；其余 🔮 规划。</t>
    </r>
  </si>
  <si>
    <t xml:space="preserve">点位</t>
  </si>
  <si>
    <t xml:space="preserve">触发</t>
  </si>
  <si>
    <t xml:space="preserve">奖励</t>
  </si>
  <si>
    <t xml:space="preserve">状态</t>
  </si>
  <si>
    <t xml:space="preserve">金币双倍</t>
  </si>
  <si>
    <t xml:space="preserve">激励视频</t>
  </si>
  <si>
    <t xml:space="preserve">胜利结算主动点</t>
  </si>
  <si>
    <r>
      <rPr>
        <sz val="10"/>
        <color rgb="FF1B2A3A"/>
        <rFont val="Noto Sans CJK SC"/>
        <family val="2"/>
      </rPr>
      <t xml:space="preserve">本波金币 </t>
    </r>
    <r>
      <rPr>
        <sz val="10"/>
        <color rgb="FF1B2A3A"/>
        <rFont val="Microsoft YaHei"/>
        <family val="0"/>
        <charset val="1"/>
      </rPr>
      <t xml:space="preserve">×2</t>
    </r>
  </si>
  <si>
    <t xml:space="preserve">✅ 已接入</t>
  </si>
  <si>
    <t xml:space="preserve">旗舰超载</t>
  </si>
  <si>
    <t xml:space="preserve">败北结算主动点</t>
  </si>
  <si>
    <r>
      <rPr>
        <sz val="10"/>
        <color rgb="FF1B2A3A"/>
        <rFont val="Noto Sans CJK SC"/>
        <family val="2"/>
      </rPr>
      <t xml:space="preserve">下次开战全队攻击 </t>
    </r>
    <r>
      <rPr>
        <sz val="10"/>
        <color rgb="FF1B2A3A"/>
        <rFont val="Microsoft YaHei"/>
        <family val="0"/>
        <charset val="1"/>
      </rPr>
      <t xml:space="preserve">+50%</t>
    </r>
  </si>
  <si>
    <t xml:space="preserve">招募援军（免费）</t>
  </si>
  <si>
    <t xml:space="preserve">备战阶段主动点</t>
  </si>
  <si>
    <t xml:space="preserve">免费空投一艘可上阵战舰</t>
  </si>
  <si>
    <r>
      <rPr>
        <b val="true"/>
        <sz val="10"/>
        <color rgb="FF1B2A3A"/>
        <rFont val="Noto Sans CJK SC"/>
        <family val="2"/>
      </rPr>
      <t xml:space="preserve">开局三选一 </t>
    </r>
    <r>
      <rPr>
        <b val="true"/>
        <sz val="10"/>
        <color rgb="FF1B2A3A"/>
        <rFont val="Microsoft YaHei"/>
        <family val="0"/>
        <charset val="1"/>
      </rPr>
      <t xml:space="preserve">Buff</t>
    </r>
  </si>
  <si>
    <t xml:space="preserve">进入关卡前</t>
  </si>
  <si>
    <r>
      <rPr>
        <sz val="10"/>
        <color rgb="FF1B2A3A"/>
        <rFont val="Noto Sans CJK SC"/>
        <family val="2"/>
      </rPr>
      <t xml:space="preserve">高级件</t>
    </r>
    <r>
      <rPr>
        <sz val="10"/>
        <color rgb="FF1B2A3A"/>
        <rFont val="Microsoft YaHei"/>
        <family val="0"/>
        <charset val="1"/>
      </rPr>
      <t xml:space="preserve">/</t>
    </r>
    <r>
      <rPr>
        <sz val="10"/>
        <color rgb="FF1B2A3A"/>
        <rFont val="Noto Sans CJK SC"/>
        <family val="2"/>
      </rPr>
      <t xml:space="preserve">更宽熔炉</t>
    </r>
    <r>
      <rPr>
        <sz val="10"/>
        <color rgb="FF1B2A3A"/>
        <rFont val="Microsoft YaHei"/>
        <family val="0"/>
        <charset val="1"/>
      </rPr>
      <t xml:space="preserve">/</t>
    </r>
    <r>
      <rPr>
        <sz val="10"/>
        <color rgb="FF1B2A3A"/>
        <rFont val="Noto Sans CJK SC"/>
        <family val="2"/>
      </rPr>
      <t xml:space="preserve">道具</t>
    </r>
  </si>
  <si>
    <t xml:space="preserve">🔮 规划</t>
  </si>
  <si>
    <t xml:space="preserve">关卡结算插屏</t>
  </si>
  <si>
    <t xml:space="preserve">插屏</t>
  </si>
  <si>
    <r>
      <rPr>
        <sz val="10"/>
        <color rgb="FF1B2A3A"/>
        <rFont val="Noto Sans CJK SC"/>
        <family val="2"/>
      </rPr>
      <t xml:space="preserve">过关</t>
    </r>
    <r>
      <rPr>
        <sz val="10"/>
        <color rgb="FF1B2A3A"/>
        <rFont val="Microsoft YaHei"/>
        <family val="0"/>
        <charset val="1"/>
      </rPr>
      <t xml:space="preserve">/</t>
    </r>
    <r>
      <rPr>
        <sz val="10"/>
        <color rgb="FF1B2A3A"/>
        <rFont val="Noto Sans CJK SC"/>
        <family val="2"/>
      </rPr>
      <t xml:space="preserve">失败后</t>
    </r>
  </si>
  <si>
    <t xml:space="preserve">—（控频，勿伤留存）</t>
  </si>
  <si>
    <t xml:space="preserve">主菜单横幅</t>
  </si>
  <si>
    <t xml:space="preserve">Banner</t>
  </si>
  <si>
    <t xml:space="preserve">主菜单常驻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</si>
</sst>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B8D4"/>
      <name val="Noto Sans CJK SC"/>
      <family val="2"/>
    </font>
    <font>
      <b val="true"/>
      <sz val="14"/>
      <color rgb="FF00B8D4"/>
      <name val="Microsoft YaHei"/>
      <family val="0"/>
      <charset val="1"/>
    </font>
    <font>
      <sz val="9"/>
      <color rgb="FF6F7E92"/>
      <name val="Noto Sans CJK SC"/>
      <family val="2"/>
    </font>
    <font>
      <sz val="9"/>
      <color rgb="FF6F7E92"/>
      <name val="Microsoft YaHei"/>
      <family val="0"/>
      <charset val="1"/>
    </font>
    <font>
      <b val="true"/>
      <sz val="11"/>
      <color rgb="FFFFFFFF"/>
      <name val="Noto Sans CJK SC"/>
      <family val="2"/>
    </font>
    <font>
      <b val="true"/>
      <sz val="10"/>
      <color rgb="FF1B2A3A"/>
      <name val="Noto Sans CJK SC"/>
      <family val="2"/>
    </font>
    <font>
      <sz val="10"/>
      <color rgb="FF1B2A3A"/>
      <name val="Microsoft YaHei"/>
      <family val="0"/>
      <charset val="1"/>
    </font>
    <font>
      <sz val="10"/>
      <color rgb="FF1B2A3A"/>
      <name val="Noto Sans CJK SC"/>
      <family val="2"/>
    </font>
    <font>
      <b val="true"/>
      <sz val="10"/>
      <color rgb="FF1B2A3A"/>
      <name val="Microsoft YaHei"/>
      <family val="0"/>
      <charset val="1"/>
    </font>
    <font>
      <b val="true"/>
      <sz val="11"/>
      <color rgb="FFFFFFFF"/>
      <name val="Microsoft YaHei"/>
      <family val="0"/>
      <charset val="1"/>
    </font>
    <font>
      <b val="true"/>
      <sz val="10"/>
      <color rgb="FFC0862B"/>
      <name val="Microsoft YaHei"/>
      <family val="0"/>
      <charset val="1"/>
    </font>
    <font>
      <b val="true"/>
      <sz val="10"/>
      <color rgb="FFC0862B"/>
      <name val="Noto Sans CJK SC"/>
      <family val="2"/>
    </font>
    <font>
      <sz val="10"/>
      <color rgb="FF0000CC"/>
      <name val="Microsoft YaHei"/>
      <family val="0"/>
      <charset val="1"/>
    </font>
    <font>
      <b val="true"/>
      <sz val="10"/>
      <color rgb="FF1E8E3E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0A1524"/>
        <bgColor rgb="FF12263F"/>
      </patternFill>
    </fill>
    <fill>
      <patternFill patternType="solid">
        <fgColor rgb="FF12263F"/>
        <bgColor rgb="FF1B2A3A"/>
      </patternFill>
    </fill>
    <fill>
      <patternFill patternType="solid">
        <fgColor rgb="FFF2F6FB"/>
        <bgColor rgb="FFFFFFFF"/>
      </patternFill>
    </fill>
    <fill>
      <patternFill patternType="solid">
        <fgColor rgb="FFFFF6E0"/>
        <bgColor rgb="FFF2F6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DEE8"/>
      </left>
      <right style="thin">
        <color rgb="FFD6DEE8"/>
      </right>
      <top style="thin">
        <color rgb="FFD6DEE8"/>
      </top>
      <bottom style="thin">
        <color rgb="FFD6DE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C0862B"/>
      <rgbColor rgb="FF800080"/>
      <rgbColor rgb="FF008080"/>
      <rgbColor rgb="FFC0C0C0"/>
      <rgbColor rgb="FF6F7E92"/>
      <rgbColor rgb="FF9999FF"/>
      <rgbColor rgb="FF993366"/>
      <rgbColor rgb="FFFFF6E0"/>
      <rgbColor rgb="FFF2F6FB"/>
      <rgbColor rgb="FF660066"/>
      <rgbColor rgb="FFFF8080"/>
      <rgbColor rgb="FF0066CC"/>
      <rgbColor rgb="FFD6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8D4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2263F"/>
      <rgbColor rgb="FF1E8E3E"/>
      <rgbColor rgb="FF0A1524"/>
      <rgbColor rgb="FF333300"/>
      <rgbColor rgb="FF993300"/>
      <rgbColor rgb="FF993366"/>
      <rgbColor rgb="FF333399"/>
      <rgbColor rgb="FF1B2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</cols>
  <sheetData>
    <row r="1" customFormat="false" ht="24" hidden="false" customHeight="true" outlineLevel="0" collapsed="false">
      <c r="A1" s="1" t="s">
        <v>0</v>
      </c>
      <c r="B1" s="1"/>
    </row>
    <row r="2" customFormat="false" ht="30" hidden="false" customHeight="tru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s">
        <v>5</v>
      </c>
    </row>
    <row r="6" customFormat="false" ht="15" hidden="false" customHeight="false" outlineLevel="0" collapsed="false">
      <c r="A6" s="6" t="s">
        <v>6</v>
      </c>
      <c r="B6" s="7" t="s">
        <v>7</v>
      </c>
    </row>
    <row r="7" customFormat="false" ht="15" hidden="false" customHeight="false" outlineLevel="0" collapsed="false">
      <c r="A7" s="4" t="s">
        <v>8</v>
      </c>
      <c r="B7" s="5" t="s">
        <v>9</v>
      </c>
    </row>
    <row r="8" customFormat="false" ht="15" hidden="false" customHeight="false" outlineLevel="0" collapsed="false">
      <c r="A8" s="6" t="s">
        <v>10</v>
      </c>
      <c r="B8" s="7" t="s">
        <v>11</v>
      </c>
    </row>
    <row r="9" customFormat="false" ht="15" hidden="false" customHeight="false" outlineLevel="0" collapsed="false">
      <c r="A9" s="4" t="s">
        <v>12</v>
      </c>
      <c r="B9" s="5" t="s">
        <v>13</v>
      </c>
    </row>
    <row r="10" customFormat="false" ht="15" hidden="false" customHeight="false" outlineLevel="0" collapsed="false">
      <c r="A10" s="6" t="s">
        <v>14</v>
      </c>
      <c r="B10" s="7" t="s">
        <v>15</v>
      </c>
    </row>
    <row r="11" customFormat="false" ht="15" hidden="false" customHeight="false" outlineLevel="0" collapsed="false">
      <c r="A11" s="8" t="s">
        <v>16</v>
      </c>
      <c r="B11" s="5" t="s">
        <v>17</v>
      </c>
    </row>
    <row r="12" customFormat="false" ht="15" hidden="false" customHeight="false" outlineLevel="0" collapsed="false">
      <c r="A12" s="6" t="s">
        <v>18</v>
      </c>
      <c r="B12" s="9" t="s">
        <v>19</v>
      </c>
    </row>
    <row r="13" customFormat="false" ht="15" hidden="false" customHeight="false" outlineLevel="0" collapsed="false">
      <c r="A13" s="4" t="s">
        <v>20</v>
      </c>
      <c r="B13" s="10" t="s">
        <v>21</v>
      </c>
    </row>
    <row r="14" customFormat="false" ht="29.85" hidden="false" customHeight="false" outlineLevel="0" collapsed="false">
      <c r="A14" s="6" t="s">
        <v>22</v>
      </c>
      <c r="B14" s="9" t="s">
        <v>23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9"/>
    <col collapsed="false" customWidth="true" hidden="false" outlineLevel="0" max="6" min="5" style="0" width="11"/>
    <col collapsed="false" customWidth="true" hidden="false" outlineLevel="0" max="7" min="7" style="0" width="13"/>
    <col collapsed="false" customWidth="true" hidden="false" outlineLevel="0" max="8" min="8" style="0" width="10"/>
  </cols>
  <sheetData>
    <row r="1" customFormat="false" ht="24" hidden="false" customHeight="true" outlineLevel="0" collapsed="false">
      <c r="A1" s="1" t="s">
        <v>24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11" t="s">
        <v>25</v>
      </c>
      <c r="B2" s="11"/>
      <c r="C2" s="11"/>
      <c r="D2" s="11"/>
      <c r="E2" s="11"/>
      <c r="F2" s="11"/>
      <c r="G2" s="11"/>
      <c r="H2" s="11"/>
    </row>
    <row r="4" customFormat="false" ht="17.15" hidden="false" customHeight="false" outlineLevel="0" collapsed="false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</row>
    <row r="5" customFormat="false" ht="15" hidden="false" customHeight="false" outlineLevel="0" collapsed="false">
      <c r="A5" s="4" t="n">
        <v>1</v>
      </c>
      <c r="B5" s="4" t="s">
        <v>34</v>
      </c>
      <c r="C5" s="10" t="s">
        <v>35</v>
      </c>
      <c r="D5" s="10" t="s">
        <v>36</v>
      </c>
      <c r="E5" s="5" t="s">
        <v>37</v>
      </c>
      <c r="F5" s="5" t="s">
        <v>37</v>
      </c>
      <c r="G5" s="5" t="s">
        <v>37</v>
      </c>
      <c r="H5" s="5" t="n">
        <v>1</v>
      </c>
    </row>
    <row r="6" customFormat="false" ht="15" hidden="false" customHeight="false" outlineLevel="0" collapsed="false">
      <c r="A6" s="6" t="n">
        <v>2</v>
      </c>
      <c r="B6" s="6" t="s">
        <v>38</v>
      </c>
      <c r="C6" s="9" t="s">
        <v>39</v>
      </c>
      <c r="D6" s="9" t="s">
        <v>36</v>
      </c>
      <c r="E6" s="7" t="s">
        <v>37</v>
      </c>
      <c r="F6" s="7" t="s">
        <v>37</v>
      </c>
      <c r="G6" s="7" t="s">
        <v>37</v>
      </c>
      <c r="H6" s="7" t="n">
        <v>3</v>
      </c>
    </row>
    <row r="7" customFormat="false" ht="15" hidden="false" customHeight="false" outlineLevel="0" collapsed="false">
      <c r="A7" s="4" t="n">
        <v>3</v>
      </c>
      <c r="B7" s="4" t="s">
        <v>40</v>
      </c>
      <c r="C7" s="10" t="s">
        <v>41</v>
      </c>
      <c r="D7" s="10" t="s">
        <v>36</v>
      </c>
      <c r="E7" s="5" t="s">
        <v>37</v>
      </c>
      <c r="F7" s="5" t="s">
        <v>37</v>
      </c>
      <c r="G7" s="5" t="s">
        <v>37</v>
      </c>
      <c r="H7" s="5" t="n">
        <v>6</v>
      </c>
    </row>
    <row r="8" customFormat="false" ht="15" hidden="false" customHeight="false" outlineLevel="0" collapsed="false">
      <c r="A8" s="6" t="n">
        <v>4</v>
      </c>
      <c r="B8" s="6" t="s">
        <v>42</v>
      </c>
      <c r="C8" s="9" t="s">
        <v>43</v>
      </c>
      <c r="D8" s="9" t="s">
        <v>36</v>
      </c>
      <c r="E8" s="7" t="s">
        <v>37</v>
      </c>
      <c r="F8" s="7" t="s">
        <v>37</v>
      </c>
      <c r="G8" s="7" t="s">
        <v>37</v>
      </c>
      <c r="H8" s="7" t="n">
        <v>12</v>
      </c>
    </row>
    <row r="9" customFormat="false" ht="15" hidden="false" customHeight="false" outlineLevel="0" collapsed="false">
      <c r="A9" s="4" t="n">
        <v>5</v>
      </c>
      <c r="B9" s="4" t="s">
        <v>44</v>
      </c>
      <c r="C9" s="10" t="s">
        <v>45</v>
      </c>
      <c r="D9" s="10" t="s">
        <v>46</v>
      </c>
      <c r="E9" s="5" t="n">
        <v>200</v>
      </c>
      <c r="F9" s="5" t="n">
        <v>30</v>
      </c>
      <c r="G9" s="5" t="n">
        <v>1.2</v>
      </c>
      <c r="H9" s="5" t="n">
        <v>25</v>
      </c>
    </row>
    <row r="10" customFormat="false" ht="15" hidden="false" customHeight="false" outlineLevel="0" collapsed="false">
      <c r="A10" s="6" t="n">
        <v>6</v>
      </c>
      <c r="B10" s="6" t="s">
        <v>47</v>
      </c>
      <c r="C10" s="9" t="s">
        <v>48</v>
      </c>
      <c r="D10" s="9" t="s">
        <v>46</v>
      </c>
      <c r="E10" s="7" t="n">
        <v>350</v>
      </c>
      <c r="F10" s="7" t="n">
        <v>55</v>
      </c>
      <c r="G10" s="7" t="n">
        <v>1.1</v>
      </c>
      <c r="H10" s="7" t="n">
        <v>50</v>
      </c>
    </row>
    <row r="11" customFormat="false" ht="15" hidden="false" customHeight="false" outlineLevel="0" collapsed="false">
      <c r="A11" s="4" t="n">
        <v>7</v>
      </c>
      <c r="B11" s="4" t="s">
        <v>49</v>
      </c>
      <c r="C11" s="10" t="s">
        <v>50</v>
      </c>
      <c r="D11" s="10" t="s">
        <v>46</v>
      </c>
      <c r="E11" s="5" t="n">
        <v>600</v>
      </c>
      <c r="F11" s="5" t="n">
        <v>95</v>
      </c>
      <c r="G11" s="5" t="n">
        <v>1</v>
      </c>
      <c r="H11" s="5" t="n">
        <v>100</v>
      </c>
    </row>
    <row r="12" customFormat="false" ht="15" hidden="false" customHeight="false" outlineLevel="0" collapsed="false">
      <c r="A12" s="6" t="n">
        <v>8</v>
      </c>
      <c r="B12" s="6" t="s">
        <v>51</v>
      </c>
      <c r="C12" s="9" t="s">
        <v>52</v>
      </c>
      <c r="D12" s="9" t="s">
        <v>46</v>
      </c>
      <c r="E12" s="7" t="n">
        <v>1000</v>
      </c>
      <c r="F12" s="7" t="n">
        <v>160</v>
      </c>
      <c r="G12" s="7" t="n">
        <v>0.95</v>
      </c>
      <c r="H12" s="7" t="n">
        <v>200</v>
      </c>
    </row>
    <row r="13" customFormat="false" ht="15" hidden="false" customHeight="false" outlineLevel="0" collapsed="false">
      <c r="A13" s="4" t="n">
        <v>9</v>
      </c>
      <c r="B13" s="4" t="s">
        <v>53</v>
      </c>
      <c r="C13" s="10" t="s">
        <v>54</v>
      </c>
      <c r="D13" s="10" t="s">
        <v>46</v>
      </c>
      <c r="E13" s="5" t="n">
        <v>1700</v>
      </c>
      <c r="F13" s="5" t="n">
        <v>270</v>
      </c>
      <c r="G13" s="5" t="n">
        <v>0.9</v>
      </c>
      <c r="H13" s="5" t="n">
        <v>400</v>
      </c>
    </row>
    <row r="14" customFormat="false" ht="15" hidden="false" customHeight="false" outlineLevel="0" collapsed="false">
      <c r="A14" s="6" t="n">
        <v>10</v>
      </c>
      <c r="B14" s="6" t="s">
        <v>55</v>
      </c>
      <c r="C14" s="9" t="s">
        <v>56</v>
      </c>
      <c r="D14" s="9" t="s">
        <v>46</v>
      </c>
      <c r="E14" s="7" t="n">
        <v>2900</v>
      </c>
      <c r="F14" s="7" t="n">
        <v>450</v>
      </c>
      <c r="G14" s="7" t="n">
        <v>0.85</v>
      </c>
      <c r="H14" s="7" t="n">
        <v>800</v>
      </c>
    </row>
    <row r="15" customFormat="false" ht="29.85" hidden="false" customHeight="false" outlineLevel="0" collapsed="false">
      <c r="A15" s="4" t="n">
        <v>11</v>
      </c>
      <c r="B15" s="4" t="s">
        <v>57</v>
      </c>
      <c r="C15" s="10" t="s">
        <v>58</v>
      </c>
      <c r="D15" s="10" t="s">
        <v>46</v>
      </c>
      <c r="E15" s="5" t="n">
        <v>5000</v>
      </c>
      <c r="F15" s="5" t="n">
        <v>750</v>
      </c>
      <c r="G15" s="5" t="n">
        <v>0.8</v>
      </c>
      <c r="H15" s="5" t="n">
        <v>1600</v>
      </c>
    </row>
    <row r="16" customFormat="false" ht="29.85" hidden="false" customHeight="false" outlineLevel="0" collapsed="false">
      <c r="A16" s="12" t="s">
        <v>59</v>
      </c>
      <c r="B16" s="13" t="s">
        <v>60</v>
      </c>
      <c r="C16" s="13" t="s">
        <v>61</v>
      </c>
      <c r="D16" s="5" t="s">
        <v>37</v>
      </c>
      <c r="E16" s="5" t="s">
        <v>37</v>
      </c>
      <c r="F16" s="5" t="s">
        <v>37</v>
      </c>
      <c r="G16" s="5" t="s">
        <v>37</v>
      </c>
      <c r="H16" s="5" t="s">
        <v>37</v>
      </c>
    </row>
    <row r="18" customFormat="false" ht="15" hidden="false" customHeight="false" outlineLevel="0" collapsed="false">
      <c r="A18" s="14" t="s">
        <v>62</v>
      </c>
    </row>
    <row r="19" customFormat="false" ht="15" hidden="false" customHeight="false" outlineLevel="0" collapsed="false">
      <c r="A19" s="15" t="s">
        <v>63</v>
      </c>
      <c r="B19" s="16" t="s">
        <v>64</v>
      </c>
    </row>
    <row r="20" customFormat="false" ht="15" hidden="false" customHeight="false" outlineLevel="0" collapsed="false">
      <c r="A20" s="15" t="s">
        <v>65</v>
      </c>
      <c r="B20" s="16" t="s">
        <v>66</v>
      </c>
    </row>
    <row r="21" customFormat="false" ht="15" hidden="false" customHeight="false" outlineLevel="0" collapsed="false">
      <c r="A21" s="15" t="s">
        <v>67</v>
      </c>
      <c r="B21" s="16" t="s">
        <v>68</v>
      </c>
    </row>
    <row r="22" customFormat="false" ht="15" hidden="false" customHeight="false" outlineLevel="0" collapsed="false">
      <c r="A22" s="15" t="s">
        <v>69</v>
      </c>
      <c r="B22" s="16" t="s">
        <v>68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46"/>
    <col collapsed="false" customWidth="true" hidden="false" outlineLevel="0" max="5" min="5" style="0" width="26"/>
  </cols>
  <sheetData>
    <row r="1" customFormat="false" ht="24" hidden="false" customHeight="true" outlineLevel="0" collapsed="false">
      <c r="A1" s="1" t="s">
        <v>70</v>
      </c>
      <c r="B1" s="1"/>
      <c r="C1" s="1"/>
      <c r="D1" s="1"/>
      <c r="E1" s="1"/>
    </row>
    <row r="2" customFormat="false" ht="30" hidden="false" customHeight="true" outlineLevel="0" collapsed="false">
      <c r="A2" s="2" t="s">
        <v>71</v>
      </c>
      <c r="B2" s="2"/>
      <c r="C2" s="2"/>
      <c r="D2" s="2"/>
      <c r="E2" s="2"/>
    </row>
    <row r="4" customFormat="false" ht="17.15" hidden="false" customHeight="false" outlineLevel="0" collapsed="false">
      <c r="A4" s="3" t="s">
        <v>72</v>
      </c>
      <c r="B4" s="3" t="s">
        <v>73</v>
      </c>
      <c r="C4" s="3" t="s">
        <v>74</v>
      </c>
      <c r="D4" s="3" t="s">
        <v>75</v>
      </c>
      <c r="E4" s="3" t="s">
        <v>76</v>
      </c>
    </row>
    <row r="5" customFormat="false" ht="15" hidden="false" customHeight="false" outlineLevel="0" collapsed="false">
      <c r="A5" s="4" t="s">
        <v>77</v>
      </c>
      <c r="B5" s="10" t="s">
        <v>78</v>
      </c>
      <c r="C5" s="5" t="n">
        <v>2</v>
      </c>
      <c r="D5" s="10" t="s">
        <v>79</v>
      </c>
      <c r="E5" s="10" t="s">
        <v>80</v>
      </c>
    </row>
    <row r="6" customFormat="false" ht="15" hidden="false" customHeight="false" outlineLevel="0" collapsed="false">
      <c r="A6" s="6" t="s">
        <v>77</v>
      </c>
      <c r="B6" s="9" t="s">
        <v>78</v>
      </c>
      <c r="C6" s="7" t="n">
        <v>4</v>
      </c>
      <c r="D6" s="9" t="s">
        <v>81</v>
      </c>
      <c r="E6" s="7"/>
    </row>
    <row r="7" customFormat="false" ht="15" hidden="false" customHeight="false" outlineLevel="0" collapsed="false">
      <c r="A7" s="4" t="s">
        <v>82</v>
      </c>
      <c r="B7" s="10" t="s">
        <v>83</v>
      </c>
      <c r="C7" s="5" t="n">
        <v>2</v>
      </c>
      <c r="D7" s="10" t="s">
        <v>84</v>
      </c>
      <c r="E7" s="10" t="s">
        <v>85</v>
      </c>
    </row>
    <row r="8" customFormat="false" ht="15" hidden="false" customHeight="false" outlineLevel="0" collapsed="false">
      <c r="A8" s="6" t="s">
        <v>82</v>
      </c>
      <c r="B8" s="9" t="s">
        <v>83</v>
      </c>
      <c r="C8" s="7" t="n">
        <v>4</v>
      </c>
      <c r="D8" s="9" t="s">
        <v>86</v>
      </c>
      <c r="E8" s="7"/>
    </row>
    <row r="9" customFormat="false" ht="15" hidden="false" customHeight="false" outlineLevel="0" collapsed="false">
      <c r="A9" s="4" t="s">
        <v>87</v>
      </c>
      <c r="B9" s="10" t="s">
        <v>88</v>
      </c>
      <c r="C9" s="5" t="n">
        <v>2</v>
      </c>
      <c r="D9" s="10" t="s">
        <v>89</v>
      </c>
      <c r="E9" s="10" t="s">
        <v>90</v>
      </c>
    </row>
    <row r="10" customFormat="false" ht="29.85" hidden="false" customHeight="false" outlineLevel="0" collapsed="false">
      <c r="A10" s="6" t="s">
        <v>87</v>
      </c>
      <c r="B10" s="9" t="s">
        <v>88</v>
      </c>
      <c r="C10" s="7" t="n">
        <v>4</v>
      </c>
      <c r="D10" s="9" t="s">
        <v>91</v>
      </c>
      <c r="E10" s="7"/>
    </row>
    <row r="11" customFormat="false" ht="15" hidden="false" customHeight="false" outlineLevel="0" collapsed="false">
      <c r="A11" s="4" t="s">
        <v>92</v>
      </c>
      <c r="B11" s="10" t="s">
        <v>93</v>
      </c>
      <c r="C11" s="5" t="n">
        <v>2</v>
      </c>
      <c r="D11" s="10" t="s">
        <v>94</v>
      </c>
      <c r="E11" s="10" t="s">
        <v>95</v>
      </c>
    </row>
    <row r="12" customFormat="false" ht="15" hidden="false" customHeight="false" outlineLevel="0" collapsed="false">
      <c r="A12" s="6" t="s">
        <v>92</v>
      </c>
      <c r="B12" s="9" t="s">
        <v>93</v>
      </c>
      <c r="C12" s="7" t="n">
        <v>4</v>
      </c>
      <c r="D12" s="9" t="s">
        <v>96</v>
      </c>
      <c r="E12" s="7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50"/>
  </cols>
  <sheetData>
    <row r="1" customFormat="false" ht="24" hidden="false" customHeight="true" outlineLevel="0" collapsed="false">
      <c r="A1" s="1" t="s">
        <v>97</v>
      </c>
      <c r="B1" s="1"/>
      <c r="C1" s="1"/>
      <c r="D1" s="1"/>
    </row>
    <row r="2" customFormat="false" ht="30" hidden="false" customHeight="true" outlineLevel="0" collapsed="false">
      <c r="A2" s="2" t="s">
        <v>98</v>
      </c>
      <c r="B2" s="2"/>
      <c r="C2" s="2"/>
      <c r="D2" s="2"/>
    </row>
    <row r="4" customFormat="false" ht="17.15" hidden="false" customHeight="false" outlineLevel="0" collapsed="false">
      <c r="A4" s="3" t="s">
        <v>99</v>
      </c>
      <c r="B4" s="3" t="s">
        <v>100</v>
      </c>
      <c r="C4" s="3" t="s">
        <v>74</v>
      </c>
      <c r="D4" s="3" t="s">
        <v>75</v>
      </c>
    </row>
    <row r="5" customFormat="false" ht="15" hidden="false" customHeight="false" outlineLevel="0" collapsed="false">
      <c r="A5" s="4" t="s">
        <v>101</v>
      </c>
      <c r="B5" s="10" t="s">
        <v>102</v>
      </c>
      <c r="C5" s="5" t="n">
        <v>2</v>
      </c>
      <c r="D5" s="10" t="s">
        <v>103</v>
      </c>
    </row>
    <row r="6" customFormat="false" ht="15" hidden="false" customHeight="false" outlineLevel="0" collapsed="false">
      <c r="A6" s="6" t="s">
        <v>101</v>
      </c>
      <c r="B6" s="9" t="s">
        <v>102</v>
      </c>
      <c r="C6" s="7" t="n">
        <v>4</v>
      </c>
      <c r="D6" s="9" t="s">
        <v>104</v>
      </c>
    </row>
    <row r="7" customFormat="false" ht="15" hidden="false" customHeight="false" outlineLevel="0" collapsed="false">
      <c r="A7" s="4" t="s">
        <v>105</v>
      </c>
      <c r="B7" s="10" t="s">
        <v>106</v>
      </c>
      <c r="C7" s="5" t="n">
        <v>2</v>
      </c>
      <c r="D7" s="10" t="s">
        <v>107</v>
      </c>
    </row>
    <row r="8" customFormat="false" ht="15" hidden="false" customHeight="false" outlineLevel="0" collapsed="false">
      <c r="A8" s="6" t="s">
        <v>105</v>
      </c>
      <c r="B8" s="9" t="s">
        <v>106</v>
      </c>
      <c r="C8" s="7" t="n">
        <v>4</v>
      </c>
      <c r="D8" s="7" t="s">
        <v>108</v>
      </c>
    </row>
    <row r="9" customFormat="false" ht="15" hidden="false" customHeight="false" outlineLevel="0" collapsed="false">
      <c r="A9" s="4" t="s">
        <v>109</v>
      </c>
      <c r="B9" s="10" t="s">
        <v>110</v>
      </c>
      <c r="C9" s="5" t="n">
        <v>2</v>
      </c>
      <c r="D9" s="10" t="s">
        <v>111</v>
      </c>
    </row>
    <row r="10" customFormat="false" ht="15" hidden="false" customHeight="false" outlineLevel="0" collapsed="false">
      <c r="A10" s="6" t="s">
        <v>109</v>
      </c>
      <c r="B10" s="9" t="s">
        <v>110</v>
      </c>
      <c r="C10" s="7" t="n">
        <v>4</v>
      </c>
      <c r="D10" s="9" t="s">
        <v>112</v>
      </c>
    </row>
    <row r="11" customFormat="false" ht="15" hidden="false" customHeight="false" outlineLevel="0" collapsed="false">
      <c r="A11" s="4" t="s">
        <v>113</v>
      </c>
      <c r="B11" s="10" t="s">
        <v>114</v>
      </c>
      <c r="C11" s="5" t="n">
        <v>2</v>
      </c>
      <c r="D11" s="10" t="s">
        <v>115</v>
      </c>
    </row>
    <row r="12" customFormat="false" ht="15" hidden="false" customHeight="false" outlineLevel="0" collapsed="false">
      <c r="A12" s="17" t="s">
        <v>113</v>
      </c>
      <c r="B12" s="17" t="s">
        <v>116</v>
      </c>
      <c r="C12" s="7" t="n">
        <v>4</v>
      </c>
      <c r="D12" s="17" t="s">
        <v>117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12"/>
  </cols>
  <sheetData>
    <row r="1" customFormat="false" ht="24" hidden="false" customHeight="true" outlineLevel="0" collapsed="false">
      <c r="A1" s="1" t="s">
        <v>118</v>
      </c>
      <c r="B1" s="1"/>
      <c r="C1" s="1"/>
      <c r="D1" s="1"/>
      <c r="E1" s="1"/>
    </row>
    <row r="2" customFormat="false" ht="30" hidden="false" customHeight="true" outlineLevel="0" collapsed="false">
      <c r="A2" s="2" t="s">
        <v>119</v>
      </c>
      <c r="B2" s="2"/>
      <c r="C2" s="2"/>
      <c r="D2" s="2"/>
      <c r="E2" s="2"/>
    </row>
    <row r="4" customFormat="false" ht="15" hidden="false" customHeight="false" outlineLevel="0" collapsed="false">
      <c r="A4" s="3" t="s">
        <v>120</v>
      </c>
      <c r="B4" s="3" t="s">
        <v>121</v>
      </c>
      <c r="C4" s="3" t="s">
        <v>122</v>
      </c>
      <c r="D4" s="3" t="s">
        <v>123</v>
      </c>
      <c r="E4" s="3" t="s">
        <v>124</v>
      </c>
    </row>
    <row r="5" customFormat="false" ht="15" hidden="false" customHeight="false" outlineLevel="0" collapsed="false">
      <c r="A5" s="13" t="s">
        <v>121</v>
      </c>
      <c r="B5" s="5" t="s">
        <v>125</v>
      </c>
      <c r="C5" s="5" t="s">
        <v>126</v>
      </c>
      <c r="D5" s="5" t="s">
        <v>125</v>
      </c>
      <c r="E5" s="5" t="s">
        <v>127</v>
      </c>
    </row>
    <row r="6" customFormat="false" ht="15" hidden="false" customHeight="false" outlineLevel="0" collapsed="false">
      <c r="A6" s="17" t="s">
        <v>122</v>
      </c>
      <c r="B6" s="7" t="s">
        <v>127</v>
      </c>
      <c r="C6" s="7" t="s">
        <v>125</v>
      </c>
      <c r="D6" s="7" t="s">
        <v>126</v>
      </c>
      <c r="E6" s="7" t="s">
        <v>125</v>
      </c>
    </row>
    <row r="7" customFormat="false" ht="15" hidden="false" customHeight="false" outlineLevel="0" collapsed="false">
      <c r="A7" s="13" t="s">
        <v>123</v>
      </c>
      <c r="B7" s="5" t="s">
        <v>125</v>
      </c>
      <c r="C7" s="5" t="s">
        <v>127</v>
      </c>
      <c r="D7" s="5" t="s">
        <v>125</v>
      </c>
      <c r="E7" s="5" t="s">
        <v>126</v>
      </c>
    </row>
    <row r="8" customFormat="false" ht="15" hidden="false" customHeight="false" outlineLevel="0" collapsed="false">
      <c r="A8" s="17" t="s">
        <v>124</v>
      </c>
      <c r="B8" s="7" t="s">
        <v>126</v>
      </c>
      <c r="C8" s="7" t="s">
        <v>125</v>
      </c>
      <c r="D8" s="7" t="s">
        <v>127</v>
      </c>
      <c r="E8" s="7" t="s">
        <v>125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2"/>
  </cols>
  <sheetData>
    <row r="1" customFormat="false" ht="24" hidden="false" customHeight="true" outlineLevel="0" collapsed="false">
      <c r="A1" s="1" t="s">
        <v>128</v>
      </c>
      <c r="B1" s="1"/>
      <c r="C1" s="1"/>
      <c r="D1" s="1"/>
    </row>
    <row r="2" customFormat="false" ht="30" hidden="false" customHeight="true" outlineLevel="0" collapsed="false">
      <c r="A2" s="2" t="s">
        <v>129</v>
      </c>
      <c r="B2" s="2"/>
      <c r="C2" s="2"/>
      <c r="D2" s="2"/>
    </row>
    <row r="4" customFormat="false" ht="15" hidden="false" customHeight="false" outlineLevel="0" collapsed="false">
      <c r="A4" s="3" t="s">
        <v>130</v>
      </c>
      <c r="B4" s="3" t="s">
        <v>131</v>
      </c>
      <c r="C4" s="3" t="s">
        <v>132</v>
      </c>
      <c r="D4" s="3" t="s">
        <v>133</v>
      </c>
    </row>
    <row r="5" customFormat="false" ht="15" hidden="false" customHeight="false" outlineLevel="0" collapsed="false">
      <c r="A5" s="8" t="s">
        <v>134</v>
      </c>
      <c r="B5" s="5" t="s">
        <v>135</v>
      </c>
      <c r="C5" s="13" t="s">
        <v>136</v>
      </c>
      <c r="D5" s="10" t="s">
        <v>137</v>
      </c>
    </row>
    <row r="6" customFormat="false" ht="15" hidden="false" customHeight="false" outlineLevel="0" collapsed="false">
      <c r="A6" s="18" t="s">
        <v>138</v>
      </c>
      <c r="B6" s="7" t="s">
        <v>139</v>
      </c>
      <c r="C6" s="17" t="s">
        <v>140</v>
      </c>
      <c r="D6" s="7" t="s">
        <v>141</v>
      </c>
    </row>
    <row r="7" customFormat="false" ht="15" hidden="false" customHeight="false" outlineLevel="0" collapsed="false">
      <c r="A7" s="8" t="s">
        <v>142</v>
      </c>
      <c r="B7" s="5" t="s">
        <v>143</v>
      </c>
      <c r="C7" s="13" t="s">
        <v>144</v>
      </c>
      <c r="D7" s="5" t="s">
        <v>145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30"/>
  </cols>
  <sheetData>
    <row r="1" customFormat="false" ht="24" hidden="false" customHeight="true" outlineLevel="0" collapsed="false">
      <c r="A1" s="1" t="s">
        <v>146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147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14" t="s">
        <v>148</v>
      </c>
    </row>
    <row r="5" customFormat="false" ht="15" hidden="false" customHeight="false" outlineLevel="0" collapsed="false">
      <c r="A5" s="19" t="s">
        <v>149</v>
      </c>
      <c r="B5" s="20" t="n">
        <v>240</v>
      </c>
    </row>
    <row r="6" customFormat="false" ht="15" hidden="false" customHeight="false" outlineLevel="0" collapsed="false">
      <c r="A6" s="19" t="s">
        <v>150</v>
      </c>
      <c r="B6" s="20" t="n">
        <v>0.42</v>
      </c>
    </row>
    <row r="7" customFormat="false" ht="15" hidden="false" customHeight="false" outlineLevel="0" collapsed="false">
      <c r="A7" s="19" t="s">
        <v>151</v>
      </c>
      <c r="B7" s="20" t="n">
        <v>0.25</v>
      </c>
    </row>
    <row r="8" customFormat="false" ht="15" hidden="false" customHeight="false" outlineLevel="0" collapsed="false">
      <c r="A8" s="19" t="s">
        <v>152</v>
      </c>
      <c r="B8" s="20" t="n">
        <v>24</v>
      </c>
    </row>
    <row r="9" customFormat="false" ht="15" hidden="false" customHeight="false" outlineLevel="0" collapsed="false">
      <c r="A9" s="19" t="s">
        <v>153</v>
      </c>
      <c r="B9" s="20" t="n">
        <v>0.38</v>
      </c>
    </row>
    <row r="11" customFormat="false" ht="17.15" hidden="false" customHeight="false" outlineLevel="0" collapsed="false">
      <c r="A11" s="3" t="s">
        <v>154</v>
      </c>
      <c r="B11" s="3" t="s">
        <v>155</v>
      </c>
      <c r="C11" s="3" t="s">
        <v>156</v>
      </c>
      <c r="D11" s="3" t="s">
        <v>157</v>
      </c>
      <c r="E11" s="3" t="s">
        <v>158</v>
      </c>
      <c r="F11" s="3" t="s">
        <v>159</v>
      </c>
      <c r="G11" s="3" t="s">
        <v>160</v>
      </c>
      <c r="H11" s="3" t="s">
        <v>161</v>
      </c>
    </row>
    <row r="12" customFormat="false" ht="15" hidden="false" customHeight="false" outlineLevel="0" collapsed="false">
      <c r="A12" s="4" t="n">
        <v>1</v>
      </c>
      <c r="B12" s="5" t="n">
        <v>1</v>
      </c>
      <c r="C12" s="10" t="s">
        <v>162</v>
      </c>
      <c r="D12" s="5" t="n">
        <v>3</v>
      </c>
      <c r="E12" s="21" t="n">
        <f aca="false">ROUND($B$5*(1+$B$6*0)*(1+$B$7*0),0)</f>
        <v>240</v>
      </c>
      <c r="F12" s="21" t="n">
        <f aca="false">ROUND($B$8*(1+$B$9*0),0)</f>
        <v>24</v>
      </c>
      <c r="G12" s="5" t="n">
        <v>1</v>
      </c>
      <c r="H12" s="10" t="s">
        <v>163</v>
      </c>
    </row>
    <row r="13" customFormat="false" ht="15" hidden="false" customHeight="false" outlineLevel="0" collapsed="false">
      <c r="A13" s="6" t="n">
        <v>1</v>
      </c>
      <c r="B13" s="7" t="n">
        <v>2</v>
      </c>
      <c r="C13" s="9" t="s">
        <v>162</v>
      </c>
      <c r="D13" s="7" t="n">
        <v>3</v>
      </c>
      <c r="E13" s="22" t="n">
        <f aca="false">ROUND($B$5*(1+$B$6*0)*(1+$B$7*1),0)</f>
        <v>300</v>
      </c>
      <c r="F13" s="22" t="n">
        <f aca="false">ROUND($B$8*(1+$B$9*0),0)</f>
        <v>24</v>
      </c>
      <c r="G13" s="7" t="n">
        <v>1</v>
      </c>
      <c r="H13" s="9" t="s">
        <v>163</v>
      </c>
    </row>
    <row r="14" customFormat="false" ht="15" hidden="false" customHeight="false" outlineLevel="0" collapsed="false">
      <c r="A14" s="4" t="n">
        <v>1</v>
      </c>
      <c r="B14" s="5" t="n">
        <v>3</v>
      </c>
      <c r="C14" s="5" t="s">
        <v>164</v>
      </c>
      <c r="D14" s="5" t="s">
        <v>165</v>
      </c>
      <c r="E14" s="10" t="s">
        <v>166</v>
      </c>
      <c r="F14" s="10" t="s">
        <v>166</v>
      </c>
      <c r="G14" s="5" t="n">
        <v>0.85</v>
      </c>
      <c r="H14" s="10" t="s">
        <v>167</v>
      </c>
    </row>
    <row r="15" customFormat="false" ht="15" hidden="false" customHeight="false" outlineLevel="0" collapsed="false">
      <c r="A15" s="6" t="n">
        <v>2</v>
      </c>
      <c r="B15" s="7" t="n">
        <v>1</v>
      </c>
      <c r="C15" s="9" t="s">
        <v>162</v>
      </c>
      <c r="D15" s="7" t="n">
        <v>4</v>
      </c>
      <c r="E15" s="22" t="n">
        <f aca="false">ROUND($B$5*(1+$B$6*1)*(1+$B$7*0),0)</f>
        <v>341</v>
      </c>
      <c r="F15" s="22" t="n">
        <f aca="false">ROUND($B$8*(1+$B$9*1),0)</f>
        <v>33</v>
      </c>
      <c r="G15" s="7" t="n">
        <v>1</v>
      </c>
      <c r="H15" s="9" t="s">
        <v>163</v>
      </c>
    </row>
    <row r="16" customFormat="false" ht="15" hidden="false" customHeight="false" outlineLevel="0" collapsed="false">
      <c r="A16" s="4" t="n">
        <v>2</v>
      </c>
      <c r="B16" s="5" t="n">
        <v>2</v>
      </c>
      <c r="C16" s="10" t="s">
        <v>162</v>
      </c>
      <c r="D16" s="5" t="n">
        <v>4</v>
      </c>
      <c r="E16" s="21" t="n">
        <f aca="false">ROUND($B$5*(1+$B$6*1)*(1+$B$7*1),0)</f>
        <v>426</v>
      </c>
      <c r="F16" s="21" t="n">
        <f aca="false">ROUND($B$8*(1+$B$9*1),0)</f>
        <v>33</v>
      </c>
      <c r="G16" s="5" t="n">
        <v>1</v>
      </c>
      <c r="H16" s="10" t="s">
        <v>163</v>
      </c>
    </row>
    <row r="17" customFormat="false" ht="15" hidden="false" customHeight="false" outlineLevel="0" collapsed="false">
      <c r="A17" s="6" t="n">
        <v>2</v>
      </c>
      <c r="B17" s="7" t="n">
        <v>3</v>
      </c>
      <c r="C17" s="7" t="s">
        <v>168</v>
      </c>
      <c r="D17" s="7" t="s">
        <v>169</v>
      </c>
      <c r="E17" s="9" t="s">
        <v>166</v>
      </c>
      <c r="F17" s="9" t="s">
        <v>166</v>
      </c>
      <c r="G17" s="7" t="n">
        <v>0.85</v>
      </c>
      <c r="H17" s="9" t="s">
        <v>170</v>
      </c>
    </row>
    <row r="18" customFormat="false" ht="15" hidden="false" customHeight="false" outlineLevel="0" collapsed="false">
      <c r="A18" s="4" t="n">
        <v>3</v>
      </c>
      <c r="B18" s="5" t="n">
        <v>1</v>
      </c>
      <c r="C18" s="10" t="s">
        <v>162</v>
      </c>
      <c r="D18" s="5" t="n">
        <v>5</v>
      </c>
      <c r="E18" s="21" t="n">
        <f aca="false">ROUND($B$5*(1+$B$6*2)*(1+$B$7*0),0)</f>
        <v>442</v>
      </c>
      <c r="F18" s="21" t="n">
        <f aca="false">ROUND($B$8*(1+$B$9*2),0)</f>
        <v>42</v>
      </c>
      <c r="G18" s="5" t="n">
        <v>1</v>
      </c>
      <c r="H18" s="10" t="s">
        <v>163</v>
      </c>
    </row>
    <row r="19" customFormat="false" ht="15" hidden="false" customHeight="false" outlineLevel="0" collapsed="false">
      <c r="A19" s="6" t="n">
        <v>3</v>
      </c>
      <c r="B19" s="7" t="n">
        <v>2</v>
      </c>
      <c r="C19" s="9" t="s">
        <v>162</v>
      </c>
      <c r="D19" s="7" t="n">
        <v>5</v>
      </c>
      <c r="E19" s="22" t="n">
        <f aca="false">ROUND($B$5*(1+$B$6*2)*(1+$B$7*1),0)</f>
        <v>552</v>
      </c>
      <c r="F19" s="22" t="n">
        <f aca="false">ROUND($B$8*(1+$B$9*2),0)</f>
        <v>42</v>
      </c>
      <c r="G19" s="7" t="n">
        <v>1</v>
      </c>
      <c r="H19" s="9" t="s">
        <v>163</v>
      </c>
    </row>
    <row r="20" customFormat="false" ht="15" hidden="false" customHeight="false" outlineLevel="0" collapsed="false">
      <c r="A20" s="4" t="n">
        <v>3</v>
      </c>
      <c r="B20" s="5" t="n">
        <v>3</v>
      </c>
      <c r="C20" s="5" t="s">
        <v>171</v>
      </c>
      <c r="D20" s="5" t="s">
        <v>169</v>
      </c>
      <c r="E20" s="10" t="s">
        <v>166</v>
      </c>
      <c r="F20" s="10" t="s">
        <v>166</v>
      </c>
      <c r="G20" s="5" t="n">
        <v>0.85</v>
      </c>
      <c r="H20" s="10" t="s">
        <v>172</v>
      </c>
    </row>
    <row r="21" customFormat="false" ht="15" hidden="false" customHeight="false" outlineLevel="0" collapsed="false">
      <c r="A21" s="6" t="n">
        <v>4</v>
      </c>
      <c r="B21" s="7" t="n">
        <v>1</v>
      </c>
      <c r="C21" s="9" t="s">
        <v>162</v>
      </c>
      <c r="D21" s="7" t="n">
        <v>5</v>
      </c>
      <c r="E21" s="22" t="n">
        <f aca="false">ROUND($B$5*(1+$B$6*3)*(1+$B$7*0),0)</f>
        <v>542</v>
      </c>
      <c r="F21" s="22" t="n">
        <f aca="false">ROUND($B$8*(1+$B$9*3),0)</f>
        <v>51</v>
      </c>
      <c r="G21" s="7" t="n">
        <v>1</v>
      </c>
      <c r="H21" s="9" t="s">
        <v>163</v>
      </c>
    </row>
    <row r="22" customFormat="false" ht="15" hidden="false" customHeight="false" outlineLevel="0" collapsed="false">
      <c r="A22" s="4" t="n">
        <v>4</v>
      </c>
      <c r="B22" s="5" t="n">
        <v>2</v>
      </c>
      <c r="C22" s="10" t="s">
        <v>162</v>
      </c>
      <c r="D22" s="5" t="n">
        <v>5</v>
      </c>
      <c r="E22" s="21" t="n">
        <f aca="false">ROUND($B$5*(1+$B$6*3)*(1+$B$7*1),0)</f>
        <v>678</v>
      </c>
      <c r="F22" s="21" t="n">
        <f aca="false">ROUND($B$8*(1+$B$9*3),0)</f>
        <v>51</v>
      </c>
      <c r="G22" s="5" t="n">
        <v>1</v>
      </c>
      <c r="H22" s="10" t="s">
        <v>163</v>
      </c>
    </row>
    <row r="23" customFormat="false" ht="15" hidden="false" customHeight="false" outlineLevel="0" collapsed="false">
      <c r="A23" s="6" t="n">
        <v>4</v>
      </c>
      <c r="B23" s="7" t="n">
        <v>3</v>
      </c>
      <c r="C23" s="7" t="s">
        <v>173</v>
      </c>
      <c r="D23" s="7" t="s">
        <v>169</v>
      </c>
      <c r="E23" s="9" t="s">
        <v>166</v>
      </c>
      <c r="F23" s="9" t="s">
        <v>166</v>
      </c>
      <c r="G23" s="7" t="n">
        <v>0.85</v>
      </c>
      <c r="H23" s="9" t="s">
        <v>174</v>
      </c>
    </row>
    <row r="24" customFormat="false" ht="15" hidden="false" customHeight="false" outlineLevel="0" collapsed="false">
      <c r="A24" s="4" t="n">
        <v>5</v>
      </c>
      <c r="B24" s="5" t="n">
        <v>1</v>
      </c>
      <c r="C24" s="10" t="s">
        <v>162</v>
      </c>
      <c r="D24" s="5" t="n">
        <v>5</v>
      </c>
      <c r="E24" s="21" t="n">
        <f aca="false">ROUND($B$5*(1+$B$6*4)*(1+$B$7*0),0)</f>
        <v>643</v>
      </c>
      <c r="F24" s="21" t="n">
        <f aca="false">ROUND($B$8*(1+$B$9*4),0)</f>
        <v>60</v>
      </c>
      <c r="G24" s="5" t="n">
        <v>1</v>
      </c>
      <c r="H24" s="10" t="s">
        <v>163</v>
      </c>
    </row>
    <row r="25" customFormat="false" ht="15" hidden="false" customHeight="false" outlineLevel="0" collapsed="false">
      <c r="A25" s="6" t="n">
        <v>5</v>
      </c>
      <c r="B25" s="7" t="n">
        <v>2</v>
      </c>
      <c r="C25" s="9" t="s">
        <v>162</v>
      </c>
      <c r="D25" s="7" t="n">
        <v>5</v>
      </c>
      <c r="E25" s="22" t="n">
        <f aca="false">ROUND($B$5*(1+$B$6*4)*(1+$B$7*1),0)</f>
        <v>804</v>
      </c>
      <c r="F25" s="22" t="n">
        <f aca="false">ROUND($B$8*(1+$B$9*4),0)</f>
        <v>60</v>
      </c>
      <c r="G25" s="7" t="n">
        <v>1</v>
      </c>
      <c r="H25" s="9" t="s">
        <v>163</v>
      </c>
    </row>
    <row r="26" customFormat="false" ht="15" hidden="false" customHeight="false" outlineLevel="0" collapsed="false">
      <c r="A26" s="4" t="n">
        <v>5</v>
      </c>
      <c r="B26" s="5" t="n">
        <v>3</v>
      </c>
      <c r="C26" s="5" t="s">
        <v>175</v>
      </c>
      <c r="D26" s="5" t="s">
        <v>169</v>
      </c>
      <c r="E26" s="10" t="s">
        <v>166</v>
      </c>
      <c r="F26" s="10" t="s">
        <v>166</v>
      </c>
      <c r="G26" s="5" t="n">
        <v>0.85</v>
      </c>
      <c r="H26" s="10" t="s">
        <v>176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7" min="6" style="0" width="12"/>
    <col collapsed="false" customWidth="true" hidden="false" outlineLevel="0" max="8" min="8" style="0" width="26"/>
  </cols>
  <sheetData>
    <row r="1" customFormat="false" ht="24" hidden="false" customHeight="true" outlineLevel="0" collapsed="false">
      <c r="A1" s="23" t="s">
        <v>177</v>
      </c>
      <c r="B1" s="23"/>
      <c r="C1" s="23"/>
      <c r="D1" s="23"/>
      <c r="E1" s="23"/>
      <c r="F1" s="23"/>
      <c r="G1" s="23"/>
      <c r="H1" s="23"/>
    </row>
    <row r="2" customFormat="false" ht="30" hidden="false" customHeight="true" outlineLevel="0" collapsed="false">
      <c r="A2" s="2" t="s">
        <v>178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14" t="s">
        <v>148</v>
      </c>
    </row>
    <row r="5" customFormat="false" ht="15" hidden="false" customHeight="false" outlineLevel="0" collapsed="false">
      <c r="A5" s="15" t="s">
        <v>179</v>
      </c>
      <c r="B5" s="20" t="n">
        <v>1500</v>
      </c>
    </row>
    <row r="6" customFormat="false" ht="15" hidden="false" customHeight="false" outlineLevel="0" collapsed="false">
      <c r="A6" s="15" t="s">
        <v>180</v>
      </c>
      <c r="B6" s="20" t="n">
        <v>0.5</v>
      </c>
    </row>
    <row r="7" customFormat="false" ht="15" hidden="false" customHeight="false" outlineLevel="0" collapsed="false">
      <c r="A7" s="15" t="s">
        <v>181</v>
      </c>
      <c r="B7" s="20" t="n">
        <v>60</v>
      </c>
    </row>
    <row r="8" customFormat="false" ht="15" hidden="false" customHeight="false" outlineLevel="0" collapsed="false">
      <c r="A8" s="15" t="s">
        <v>182</v>
      </c>
      <c r="B8" s="20" t="n">
        <v>0.45</v>
      </c>
    </row>
    <row r="9" customFormat="false" ht="15" hidden="false" customHeight="false" outlineLevel="0" collapsed="false">
      <c r="A9" s="19" t="s">
        <v>183</v>
      </c>
      <c r="B9" s="20" t="n">
        <v>320</v>
      </c>
    </row>
    <row r="10" customFormat="false" ht="15" hidden="false" customHeight="false" outlineLevel="0" collapsed="false">
      <c r="A10" s="19" t="s">
        <v>184</v>
      </c>
      <c r="B10" s="20" t="n">
        <v>0.4</v>
      </c>
    </row>
    <row r="12" customFormat="false" ht="17.15" hidden="false" customHeight="false" outlineLevel="0" collapsed="false">
      <c r="A12" s="3" t="s">
        <v>154</v>
      </c>
      <c r="B12" s="24" t="s">
        <v>185</v>
      </c>
      <c r="C12" s="24" t="s">
        <v>186</v>
      </c>
      <c r="D12" s="3" t="s">
        <v>187</v>
      </c>
      <c r="E12" s="3" t="s">
        <v>160</v>
      </c>
      <c r="F12" s="3" t="s">
        <v>188</v>
      </c>
      <c r="G12" s="3" t="s">
        <v>189</v>
      </c>
      <c r="H12" s="3" t="s">
        <v>190</v>
      </c>
    </row>
    <row r="13" customFormat="false" ht="15" hidden="false" customHeight="false" outlineLevel="0" collapsed="false">
      <c r="A13" s="4" t="n">
        <v>1</v>
      </c>
      <c r="B13" s="4" t="s">
        <v>191</v>
      </c>
      <c r="C13" s="21" t="n">
        <f aca="false">ROUND($B$5*(1+$B$6*0),0)</f>
        <v>1500</v>
      </c>
      <c r="D13" s="21" t="n">
        <f aca="false">ROUND($B$7*(1+$B$8*0),0)</f>
        <v>60</v>
      </c>
      <c r="E13" s="21" t="n">
        <v>0.85</v>
      </c>
      <c r="F13" s="21" t="n">
        <v>1</v>
      </c>
      <c r="G13" s="21" t="n">
        <f aca="false">ROUND($B$9*(1+$B$10*0),0)</f>
        <v>320</v>
      </c>
      <c r="H13" s="13" t="s">
        <v>192</v>
      </c>
    </row>
    <row r="14" customFormat="false" ht="15" hidden="false" customHeight="false" outlineLevel="0" collapsed="false">
      <c r="A14" s="6" t="n">
        <v>2</v>
      </c>
      <c r="B14" s="6" t="s">
        <v>193</v>
      </c>
      <c r="C14" s="22" t="n">
        <f aca="false">ROUND($B$5*(1+$B$6*1),0)</f>
        <v>2250</v>
      </c>
      <c r="D14" s="22" t="n">
        <f aca="false">ROUND($B$7*(1+$B$8*1),0)</f>
        <v>87</v>
      </c>
      <c r="E14" s="22" t="n">
        <v>0.85</v>
      </c>
      <c r="F14" s="22" t="n">
        <v>2</v>
      </c>
      <c r="G14" s="22" t="n">
        <f aca="false">ROUND($B$9*(1+$B$10*1),0)</f>
        <v>448</v>
      </c>
      <c r="H14" s="17" t="s">
        <v>192</v>
      </c>
    </row>
    <row r="15" customFormat="false" ht="15" hidden="false" customHeight="false" outlineLevel="0" collapsed="false">
      <c r="A15" s="4" t="n">
        <v>3</v>
      </c>
      <c r="B15" s="4" t="s">
        <v>194</v>
      </c>
      <c r="C15" s="21" t="n">
        <f aca="false">ROUND($B$5*(1+$B$6*2),0)</f>
        <v>3000</v>
      </c>
      <c r="D15" s="21" t="n">
        <f aca="false">ROUND($B$7*(1+$B$8*2),0)</f>
        <v>114</v>
      </c>
      <c r="E15" s="21" t="n">
        <v>0.85</v>
      </c>
      <c r="F15" s="21" t="n">
        <v>2</v>
      </c>
      <c r="G15" s="21" t="n">
        <f aca="false">ROUND($B$9*(1+$B$10*2),0)</f>
        <v>576</v>
      </c>
      <c r="H15" s="13" t="s">
        <v>192</v>
      </c>
    </row>
    <row r="16" customFormat="false" ht="15" hidden="false" customHeight="false" outlineLevel="0" collapsed="false">
      <c r="A16" s="6" t="n">
        <v>4</v>
      </c>
      <c r="B16" s="6" t="s">
        <v>195</v>
      </c>
      <c r="C16" s="22" t="n">
        <f aca="false">ROUND($B$5*(1+$B$6*3),0)</f>
        <v>3750</v>
      </c>
      <c r="D16" s="22" t="n">
        <f aca="false">ROUND($B$7*(1+$B$8*3),0)</f>
        <v>141</v>
      </c>
      <c r="E16" s="22" t="n">
        <v>0.85</v>
      </c>
      <c r="F16" s="22" t="n">
        <v>2</v>
      </c>
      <c r="G16" s="22" t="n">
        <f aca="false">ROUND($B$9*(1+$B$10*3),0)</f>
        <v>704</v>
      </c>
      <c r="H16" s="17" t="s">
        <v>192</v>
      </c>
    </row>
    <row r="17" customFormat="false" ht="15" hidden="false" customHeight="false" outlineLevel="0" collapsed="false">
      <c r="A17" s="4" t="n">
        <v>5</v>
      </c>
      <c r="B17" s="4" t="s">
        <v>196</v>
      </c>
      <c r="C17" s="21" t="n">
        <f aca="false">ROUND($B$5*(1+$B$6*4),0)</f>
        <v>4500</v>
      </c>
      <c r="D17" s="21" t="n">
        <f aca="false">ROUND($B$7*(1+$B$8*4),0)</f>
        <v>168</v>
      </c>
      <c r="E17" s="21" t="n">
        <v>0.85</v>
      </c>
      <c r="F17" s="21" t="n">
        <v>2</v>
      </c>
      <c r="G17" s="21" t="n">
        <f aca="false">ROUND($B$9*(1+$B$10*4),0)</f>
        <v>832</v>
      </c>
      <c r="H17" s="13" t="s">
        <v>192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34"/>
  </cols>
  <sheetData>
    <row r="1" customFormat="false" ht="24" hidden="false" customHeight="true" outlineLevel="0" collapsed="false">
      <c r="A1" s="1" t="s">
        <v>197</v>
      </c>
      <c r="B1" s="1"/>
      <c r="C1" s="1"/>
      <c r="D1" s="1"/>
    </row>
    <row r="2" customFormat="false" ht="30" hidden="false" customHeight="true" outlineLevel="0" collapsed="false">
      <c r="A2" s="11" t="s">
        <v>198</v>
      </c>
      <c r="B2" s="11"/>
      <c r="C2" s="11"/>
      <c r="D2" s="11"/>
    </row>
    <row r="4" customFormat="false" ht="15" hidden="false" customHeight="false" outlineLevel="0" collapsed="false">
      <c r="A4" s="14" t="s">
        <v>148</v>
      </c>
    </row>
    <row r="5" customFormat="false" ht="15" hidden="false" customHeight="false" outlineLevel="0" collapsed="false">
      <c r="A5" s="19" t="s">
        <v>199</v>
      </c>
      <c r="B5" s="20" t="n">
        <v>10</v>
      </c>
    </row>
    <row r="6" customFormat="false" ht="15" hidden="false" customHeight="false" outlineLevel="0" collapsed="false">
      <c r="A6" s="19" t="s">
        <v>200</v>
      </c>
      <c r="B6" s="20" t="n">
        <v>2</v>
      </c>
    </row>
    <row r="7" customFormat="false" ht="15" hidden="false" customHeight="false" outlineLevel="0" collapsed="false">
      <c r="A7" s="15" t="s">
        <v>201</v>
      </c>
      <c r="B7" s="20" t="n">
        <v>30</v>
      </c>
    </row>
    <row r="8" customFormat="false" ht="15" hidden="false" customHeight="false" outlineLevel="0" collapsed="false">
      <c r="A8" s="15" t="s">
        <v>202</v>
      </c>
      <c r="B8" s="20" t="n">
        <v>5</v>
      </c>
    </row>
    <row r="10" customFormat="false" ht="15" hidden="false" customHeight="false" outlineLevel="0" collapsed="false">
      <c r="A10" s="3" t="s">
        <v>203</v>
      </c>
      <c r="B10" s="3" t="s">
        <v>204</v>
      </c>
      <c r="C10" s="3" t="s">
        <v>205</v>
      </c>
      <c r="D10" s="3" t="s">
        <v>206</v>
      </c>
    </row>
    <row r="11" customFormat="false" ht="26.85" hidden="false" customHeight="false" outlineLevel="0" collapsed="false">
      <c r="A11" s="4" t="s">
        <v>207</v>
      </c>
      <c r="B11" s="5" t="str">
        <f aca="false">$B$5&amp;" ~ "&amp;($B$5+$B$6*4)</f>
        <v>10 ~ 18</v>
      </c>
      <c r="C11" s="10" t="s">
        <v>208</v>
      </c>
      <c r="D11" s="10" t="s">
        <v>209</v>
      </c>
    </row>
    <row r="12" customFormat="false" ht="26.85" hidden="false" customHeight="false" outlineLevel="0" collapsed="false">
      <c r="A12" s="18" t="s">
        <v>210</v>
      </c>
      <c r="B12" s="7" t="str">
        <f aca="false">$B$7&amp;" ~ "&amp;($B$7+$B$8*4)</f>
        <v>30 ~ 50</v>
      </c>
      <c r="C12" s="9" t="s">
        <v>208</v>
      </c>
      <c r="D12" s="9" t="s">
        <v>211</v>
      </c>
    </row>
    <row r="13" customFormat="false" ht="15" hidden="false" customHeight="false" outlineLevel="0" collapsed="false">
      <c r="A13" s="4" t="s">
        <v>212</v>
      </c>
      <c r="B13" s="10" t="s">
        <v>213</v>
      </c>
      <c r="C13" s="10" t="s">
        <v>214</v>
      </c>
      <c r="D13" s="10" t="s">
        <v>215</v>
      </c>
    </row>
    <row r="14" customFormat="false" ht="29.85" hidden="false" customHeight="false" outlineLevel="0" collapsed="false">
      <c r="A14" s="6" t="s">
        <v>216</v>
      </c>
      <c r="B14" s="7" t="n">
        <v>8</v>
      </c>
      <c r="C14" s="9" t="s">
        <v>217</v>
      </c>
      <c r="D14" s="9" t="s">
        <v>218</v>
      </c>
    </row>
    <row r="15" customFormat="false" ht="29.85" hidden="false" customHeight="false" outlineLevel="0" collapsed="false">
      <c r="A15" s="4" t="s">
        <v>219</v>
      </c>
      <c r="B15" s="5" t="n">
        <v>15</v>
      </c>
      <c r="C15" s="10" t="s">
        <v>217</v>
      </c>
      <c r="D15" s="10" t="s">
        <v>220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14"/>
  </cols>
  <sheetData>
    <row r="1" customFormat="false" ht="24" hidden="false" customHeight="true" outlineLevel="0" collapsed="false">
      <c r="A1" s="1" t="s">
        <v>221</v>
      </c>
      <c r="B1" s="1"/>
      <c r="C1" s="1"/>
      <c r="D1" s="1"/>
      <c r="E1" s="1"/>
    </row>
    <row r="2" customFormat="false" ht="30" hidden="false" customHeight="true" outlineLevel="0" collapsed="false">
      <c r="A2" s="2" t="s">
        <v>222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223</v>
      </c>
      <c r="B4" s="3" t="s">
        <v>156</v>
      </c>
      <c r="C4" s="3" t="s">
        <v>224</v>
      </c>
      <c r="D4" s="3" t="s">
        <v>225</v>
      </c>
      <c r="E4" s="3" t="s">
        <v>226</v>
      </c>
    </row>
    <row r="5" customFormat="false" ht="15" hidden="false" customHeight="false" outlineLevel="0" collapsed="false">
      <c r="A5" s="4" t="s">
        <v>227</v>
      </c>
      <c r="B5" s="10" t="s">
        <v>228</v>
      </c>
      <c r="C5" s="10" t="s">
        <v>229</v>
      </c>
      <c r="D5" s="10" t="s">
        <v>230</v>
      </c>
      <c r="E5" s="25" t="s">
        <v>231</v>
      </c>
    </row>
    <row r="6" customFormat="false" ht="15" hidden="false" customHeight="false" outlineLevel="0" collapsed="false">
      <c r="A6" s="6" t="s">
        <v>232</v>
      </c>
      <c r="B6" s="9" t="s">
        <v>228</v>
      </c>
      <c r="C6" s="9" t="s">
        <v>233</v>
      </c>
      <c r="D6" s="9" t="s">
        <v>234</v>
      </c>
      <c r="E6" s="26" t="s">
        <v>231</v>
      </c>
    </row>
    <row r="7" customFormat="false" ht="15" hidden="false" customHeight="false" outlineLevel="0" collapsed="false">
      <c r="A7" s="4" t="s">
        <v>235</v>
      </c>
      <c r="B7" s="10" t="s">
        <v>228</v>
      </c>
      <c r="C7" s="10" t="s">
        <v>236</v>
      </c>
      <c r="D7" s="10" t="s">
        <v>237</v>
      </c>
      <c r="E7" s="25" t="s">
        <v>231</v>
      </c>
    </row>
    <row r="8" customFormat="false" ht="15" hidden="false" customHeight="false" outlineLevel="0" collapsed="false">
      <c r="A8" s="6" t="s">
        <v>238</v>
      </c>
      <c r="B8" s="9" t="s">
        <v>228</v>
      </c>
      <c r="C8" s="9" t="s">
        <v>239</v>
      </c>
      <c r="D8" s="9" t="s">
        <v>240</v>
      </c>
      <c r="E8" s="17" t="s">
        <v>241</v>
      </c>
    </row>
    <row r="9" customFormat="false" ht="15" hidden="false" customHeight="false" outlineLevel="0" collapsed="false">
      <c r="A9" s="4" t="s">
        <v>242</v>
      </c>
      <c r="B9" s="10" t="s">
        <v>243</v>
      </c>
      <c r="C9" s="10" t="s">
        <v>244</v>
      </c>
      <c r="D9" s="10" t="s">
        <v>245</v>
      </c>
      <c r="E9" s="13" t="s">
        <v>241</v>
      </c>
    </row>
    <row r="10" customFormat="false" ht="15" hidden="false" customHeight="false" outlineLevel="0" collapsed="false">
      <c r="A10" s="6" t="s">
        <v>246</v>
      </c>
      <c r="B10" s="7" t="s">
        <v>247</v>
      </c>
      <c r="C10" s="9" t="s">
        <v>248</v>
      </c>
      <c r="D10" s="7" t="s">
        <v>37</v>
      </c>
      <c r="E10" s="17" t="s">
        <v>241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2026-07-04T23:20:29Z</dcterms:created>
  <dc:creator>openpyxl</dc:creator>
  <dc:description/>
  <dc:language>en-US</dc:language>
  <cp:lastModifiedBy/>
  <dcterms:modified xsi:type="dcterms:W3CDTF">2026-07-04T23:20:29Z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